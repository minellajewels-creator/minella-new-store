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Orders" sheetId="2" r:id="rId6"/>
  </sheets>
  <definedNames/>
  <calcPr/>
</workbook>
</file>

<file path=xl/sharedStrings.xml><?xml version="1.0" encoding="utf-8"?>
<sst xmlns="http://schemas.openxmlformats.org/spreadsheetml/2006/main" count="834" uniqueCount="317">
  <si>
    <t>MNL-20260321-4664</t>
  </si>
  <si>
    <t>MNL1774083016427140</t>
  </si>
  <si>
    <t>Ashok</t>
  </si>
  <si>
    <t>minellajewels@gmail.com</t>
  </si>
  <si>
    <t>81b, vinayagar kovil street, velandipalayam, tamilnadu - 641025</t>
  </si>
  <si>
    <t>Celestial Necklace x1 = Rs.269</t>
  </si>
  <si>
    <t>upi</t>
  </si>
  <si>
    <t>[{"title":"Celestial Necklace","qty":1,"price":269}]</t>
  </si>
  <si>
    <t>Awaiting Payment</t>
  </si>
  <si>
    <t>MNL-20260321-6847</t>
  </si>
  <si>
    <t>MNL1774083574865286</t>
  </si>
  <si>
    <t>MNL-20260321-1963</t>
  </si>
  <si>
    <t>COD-1774083674661</t>
  </si>
  <si>
    <t>Cash on Delivery</t>
  </si>
  <si>
    <t>Order Placed</t>
  </si>
  <si>
    <t>MNL-20260321-5955</t>
  </si>
  <si>
    <t>MNL1774083774829189</t>
  </si>
  <si>
    <t>Bow Earring x1 = Rs.99</t>
  </si>
  <si>
    <t>[{"title":"Bow Earring","qty":1,"price":99}]</t>
  </si>
  <si>
    <t>MNL-20260321-2599</t>
  </si>
  <si>
    <t>MNL1774092642926363</t>
  </si>
  <si>
    <t>Ashok P S</t>
  </si>
  <si>
    <t>ashokmarley1502@gmail.com</t>
  </si>
  <si>
    <t>81b vinayagar kovil street, velandipalayam,coimbatore, Coimbatore, Tamil Nadu - 641025</t>
  </si>
  <si>
    <t>Floral themed Necklace x1 = Rs.229</t>
  </si>
  <si>
    <t>[{"title":"Floral themed Necklace","qty":1,"price":229}]</t>
  </si>
  <si>
    <t>MNL-20260321-5206</t>
  </si>
  <si>
    <t>MNL1774105852615773</t>
  </si>
  <si>
    <t>ASHOK P S</t>
  </si>
  <si>
    <t>ashok.p-s@outlook.com</t>
  </si>
  <si>
    <t>Grocery shop, Vinayagar kovil street, velandipalayam, Coimbatore, Tamilnadu - 641025</t>
  </si>
  <si>
    <t>Rain Drop Necklace x1 = Rs.229; Celestial Necklace x1 = Rs.269; Studded Earring x1 = Rs.199; Heart Filled Necklace x1 = Rs.249; Floating heart Necklace x1 = Rs.249; Asymetrical Drop Earring x1 = Rs.129; Star layered Necklace x1 = Rs.279; Heart Layered Necklace x1 = Rs.279</t>
  </si>
  <si>
    <t>emi</t>
  </si>
  <si>
    <t>[{"title":"Rain Drop Necklace","qty":1,"price":229},{"title":"Celestial Necklace","qty":1,"price":269},{"title":"Studded Earring","qty":1,"price":199},{"title":"Heart Filled Necklace","qty":1,"price":249},{"title":"Floating heart Necklace","qty":1,"price":249},{"title":"Asymetrical Drop Earring","qty":1,"price":129},{"title":"Star layered Necklace","qty":1,"price":279},{"title":"Heart Layered Necklace","qty":1,"price":279}]</t>
  </si>
  <si>
    <t>MNL-20260321-8904</t>
  </si>
  <si>
    <t>COD-1774106036774</t>
  </si>
  <si>
    <t>Rain Drop Necklace x1 = Rs.229</t>
  </si>
  <si>
    <t>[{"title":"Rain Drop Necklace","qty":1,"price":229}]</t>
  </si>
  <si>
    <t>MNL-20260321-4631</t>
  </si>
  <si>
    <t>MNL1774106072237681</t>
  </si>
  <si>
    <t>Cupid Bow Necklace x1 = Rs.199</t>
  </si>
  <si>
    <t>[{"title":"Cupid Bow Necklace","qty":1,"price":199}]</t>
  </si>
  <si>
    <t>MNL-20260322-3447</t>
  </si>
  <si>
    <t>MNL1774167946115277</t>
  </si>
  <si>
    <t>Confetti Drop Necklace x1 = Rs.239</t>
  </si>
  <si>
    <t>[{"title":"Confetti Drop Necklace","qty":1,"price":239}]</t>
  </si>
  <si>
    <t>MNL-20260326-2593</t>
  </si>
  <si>
    <t>COD-1774504453463</t>
  </si>
  <si>
    <t>MNL-20260329-6829</t>
  </si>
  <si>
    <t>MNL177478328428236</t>
  </si>
  <si>
    <t>Kirubadharshini</t>
  </si>
  <si>
    <t>brand</t>
  </si>
  <si>
    <t>kirubaa0511@gmail.com</t>
  </si>
  <si>
    <t>1/1496,F1 Arch Street, poonga nagar, veerapandi to kovil vali road,, Tiruppur, Tamilnadu - 641605</t>
  </si>
  <si>
    <t>MNL-20260402-7647</t>
  </si>
  <si>
    <t>MNL1775125202323883</t>
  </si>
  <si>
    <t>Nail Bracelet x1 = Rs.189</t>
  </si>
  <si>
    <t>[{"title":"Nail Bracelet","qty":1,"price":189}]</t>
  </si>
  <si>
    <t>MNL-20260403-8892</t>
  </si>
  <si>
    <t>MNL1775190857503966</t>
  </si>
  <si>
    <t>Floating heart Necklace x1 = Rs.249</t>
  </si>
  <si>
    <t>[{"title":"Floating heart Necklace","qty":1,"price":249}]</t>
  </si>
  <si>
    <t>MNL-20260406-1849</t>
  </si>
  <si>
    <t>MNL177545260005288</t>
  </si>
  <si>
    <t>sidharthan padmanaban</t>
  </si>
  <si>
    <t>sidharthmagi@gmail.com</t>
  </si>
  <si>
    <t>81b vinayager koil street, velandipalayam, coimbatore, Tamil Nadu - 641025</t>
  </si>
  <si>
    <t>Floral themed Necklace x1 = Rs.229; Hanging Bow Necklace x2 = Rs.498; Celestial Necklace x2 = Rs.538; Studded Earring x2 = Rs.398; Heart Filled Necklace x2 = Rs.498; Black Clover Bracelet x1 = Rs.229; Butterfly Necklace x2 = Rs.498; Twin heart Neclace x1 = Rs.269; Floating heart Necklace x2 = Rs.498; Asymetrical Drop Earring x1 = Rs.129; Star layered Necklace x1 = Rs.279; Heart Layered Necklace x1 = Rs.279; Solitaire Necklace x1 = Rs.199; Lined Heart Earrings x1 = Rs.209; Bow Necklace x1 = Rs.229; Bow Earring x1 = Rs.99</t>
  </si>
  <si>
    <t>logo_link</t>
  </si>
  <si>
    <t>card</t>
  </si>
  <si>
    <t>raw image</t>
  </si>
  <si>
    <t>[{"title":"Floral themed Necklace","qty":1,"price":229},{"title":"Hanging Bow Necklace","qty":2,"price":249},{"title":"Celestial Necklace","qty":2,"price":269},{"title":"Studded Earring","qty":2,"price":199},{"title":"Heart Filled Necklace","qty":2,"price":249},{"title":"Black Clover Bracelet","qty":1,"price":229},{"title":"Butterfly Necklace","qty":2,"price":249},{"title":"Twin heart Neclace","qty":1,"price":269},{"title":"Floating heart Necklace","qty":2,"price":249},{"title":"Asymetrical Drop Earring","qty":1,"price":129},{"title":"Star layered Necklace","qty":1,"price":279},{"title":"Heart Layered Necklace","qty":1,"price":279},{"title":"Solitaire Necklace","qty":1,"price":199},{"title":"Lined Heart Earrings","qty":1,"price":209},{"title":"Bow Necklace","qty":1,"price":229},{"title":"Bow Earring","qty":1,"price":99}]</t>
  </si>
  <si>
    <t>additional_images</t>
  </si>
  <si>
    <t>Instagram_video</t>
  </si>
  <si>
    <t>MNL-20260413-4419</t>
  </si>
  <si>
    <t>video_link</t>
  </si>
  <si>
    <t>MNL1776070096220965</t>
  </si>
  <si>
    <t>stocks</t>
  </si>
  <si>
    <t>Product Name</t>
  </si>
  <si>
    <t>Cupid Bow Necklace x1 = Rs.199; Asymetrical Drop Earring x1 = Rs.129</t>
  </si>
  <si>
    <t>without_offer</t>
  </si>
  <si>
    <t>details</t>
  </si>
  <si>
    <t>[{"title":"Cupid Bow Necklace","qty":1,"price":199},{"title":"Asymetrical Drop Earring","qty":1,"price":129}]</t>
  </si>
  <si>
    <t>quote</t>
  </si>
  <si>
    <t>MNL-20260414-2856</t>
  </si>
  <si>
    <t>MNL1776167973689826</t>
  </si>
  <si>
    <t>Floral themed Necklace</t>
  </si>
  <si>
    <t>Anti-Tarnish. Water Resistant Jewellery</t>
  </si>
  <si>
    <t>MNL-20260507-7177</t>
  </si>
  <si>
    <t>MNL1778170783131246</t>
  </si>
  <si>
    <t>Evil Eye Buddha Hand Necklace x1 = Rs.249</t>
  </si>
  <si>
    <t>in_stock</t>
  </si>
  <si>
    <t>[{"title":"Evil Eye Buddha Hand Necklace","qty":1,"price":249}]</t>
  </si>
  <si>
    <t>MNL-20260720-6755</t>
  </si>
  <si>
    <t>MNL1784530641307147</t>
  </si>
  <si>
    <t>suthika surendran</t>
  </si>
  <si>
    <t>https://minella.in/product/201</t>
  </si>
  <si>
    <t>suthikasurendran06@gmail.com</t>
  </si>
  <si>
    <t>81b, vinayagar kovil street, coimbatore, tamilnadu - 641025</t>
  </si>
  <si>
    <t>Midnight Aura Necklace x1 = Rs.249</t>
  </si>
  <si>
    <t>[{"title":"Midnight Aura Necklace","qty":1,"price":249}]</t>
  </si>
  <si>
    <t>MNL-20260720-7401</t>
  </si>
  <si>
    <t>MNL1784533086174988</t>
  </si>
  <si>
    <t>Manoj</t>
  </si>
  <si>
    <t>manoj3544@outlook.com</t>
  </si>
  <si>
    <t>311 sanganoor road ganapathy, Coimbatore, Tamilnadu - 641006</t>
  </si>
  <si>
    <t>Sun shine Necklace x1 = Rs.249</t>
  </si>
  <si>
    <t>[{"title":"Sun shine Necklace","qty":1,"price":249}]</t>
  </si>
  <si>
    <t>MNL-20260719-6877</t>
  </si>
  <si>
    <t>MNL1784447361784735</t>
  </si>
  <si>
    <t>Nivetha Karthi</t>
  </si>
  <si>
    <t>nivethakarthika18@gmail.com</t>
  </si>
  <si>
    <t>40, JPK Illam, FCI 2nd street, Ganapathi, Coimbatore, Tamilnadu - 641006</t>
  </si>
  <si>
    <t>Midnight Aura Necklace x1 = Rs.249; Butterfly Necklace x1 = Rs.249</t>
  </si>
  <si>
    <t>https://drive.google.com/uc?export=download&amp;id=1Eq1doVHdGXB3_Trg-LmiIT7yfO9Tw0SG</t>
  </si>
  <si>
    <t>[{"title":"Midnight Aura Necklace","qty":1,"price":249},{"title":"Butterfly Necklace","qty":1,"price":249}]</t>
  </si>
  <si>
    <t>MNL-20260904-3142</t>
  </si>
  <si>
    <t>COD-1788472473338</t>
  </si>
  <si>
    <t>Raam Kumar</t>
  </si>
  <si>
    <t>seenivasan192004@gmail.com</t>
  </si>
  <si>
    <t>Hindustan college of arts and sciences Coimbatore, COIMBATORE, Tamil Nadu - 641028</t>
  </si>
  <si>
    <t>Knot Cuff Bracelet x1 = Rs.199</t>
  </si>
  <si>
    <t>[{"title":"Knot Cuff Bracelet","qty":1,"price":199}]</t>
  </si>
  <si>
    <t>no</t>
  </si>
  <si>
    <t>Minella</t>
  </si>
  <si>
    <t>"Anti tarnish","Water Resistant","Affordable price","Best Quality","Daily Wear","Imitation Jewellery"</t>
  </si>
  <si>
    <t>new</t>
  </si>
  <si>
    <t>https://drive.google.com/uc?export=download&amp;id=1HCMx13bSUhmIxVPkpF-0qaCVL47TpXo7</t>
  </si>
  <si>
    <t>Floral Themed Necklace</t>
  </si>
  <si>
    <t>Premium anti-tarnish necklace with a delicate floral design, water-resistant, skin-friendly, and crafted for long-lasting shine.</t>
  </si>
  <si>
    <t>Bloom with elegance, every single day.</t>
  </si>
  <si>
    <t>Hanging Bow Necklace</t>
  </si>
  <si>
    <t>https://minella.in/product/202</t>
  </si>
  <si>
    <t>https://drive.google.com/uc?export=download&amp;id=1YNgPqz995bKmqDLYEbLLd7apg4D0r78B</t>
  </si>
  <si>
    <t>https://drive.google.com/file/d/1YNgPqz995bKmqDLYEbLLd7apg4D0r78B/view?usp=drive_link</t>
  </si>
  <si>
    <t>https://drive.google.com/uc?export=download&amp;id=1iXPXrji4V-ZL-paw2Yn6ZycWbLSjhLiM</t>
  </si>
  <si>
    <t>Elegant bow-style necklace with anti-tarnish coating, water-resistant finish, and lightweight premium quality.</t>
  </si>
  <si>
    <t>Tie your look together with grace.</t>
  </si>
  <si>
    <t>Rain Drop Necklace</t>
  </si>
  <si>
    <t>https://minella.in/product/203</t>
  </si>
  <si>
    <t>https://drive.google.com/uc?export=download&amp;id=1jIfCuMQgzvOnRLDlredWzS_xZ3KiFk3p</t>
  </si>
  <si>
    <t>Minimal raindrop design, anti-tarnish, water-resistant, and made for a subtle luxury finish.</t>
  </si>
  <si>
    <t>Let your style fall effortlessly.</t>
  </si>
  <si>
    <t>Celestial Necklace</t>
  </si>
  <si>
    <t>https://minella.in/product/204</t>
  </si>
  <si>
    <t>https://drive.google.com/uc?export=download&amp;id=1WwxZ8QFPl0dLMu3hlGfaFQccFtZ4H3gV</t>
  </si>
  <si>
    <t>Star-inspired celestial necklace with anti-tarnish protection and water resistance for everyday elegance.</t>
  </si>
  <si>
    <t>Shine like the stars you admire.</t>
  </si>
  <si>
    <t>Studded Earring</t>
  </si>
  <si>
    <t>https://minella.in/product/205</t>
  </si>
  <si>
    <t>https://drive.google.com/uc?export=download&amp;id=1O42Z0PPJb08fW0DfXWVGxV-6a0PNSwu1</t>
  </si>
  <si>
    <t>Premium studded earrings, anti-tarnish, water-resistant, and designed for timeless sparkle.</t>
  </si>
  <si>
    <t>Small details, big impact.</t>
  </si>
  <si>
    <t>Heart Filled Necklace</t>
  </si>
  <si>
    <t>https://minella.in/product/206</t>
  </si>
  <si>
    <t>https://drive.google.com/uc?export=download&amp;id=1zHfZjL_zJjsBz-aA6gK7M7bDEDm6SLWW</t>
  </si>
  <si>
    <t>Heart design necklace with anti-tarnish coating, water-resistant, and perfect for daily wear.</t>
  </si>
  <si>
    <t>Wear your heart with pride.</t>
  </si>
  <si>
    <t>Black Clover Bracelet</t>
  </si>
  <si>
    <t>https://minella.in/product/207</t>
  </si>
  <si>
    <t>https://drive.google.com/uc?export=download&amp;id=1bJySRhcphvMNk8QfS__xomZJ-Ya9EQB2</t>
  </si>
  <si>
    <t>Stylish clover bracelet, anti-tarnish, water-resistant, and crafted for a bold premium look.</t>
  </si>
  <si>
    <t>Carry luck in style.</t>
  </si>
  <si>
    <t>Butterfly Necklace</t>
  </si>
  <si>
    <t>https://minella.in/product/208</t>
  </si>
  <si>
    <t>https://drive.google.com/uc?export=download&amp;id=1k4x1hDkORmrutunaA38rdQP-JtCjqo5f</t>
  </si>
  <si>
    <t>Elegant butterfly necklace, anti-tarnish, water-resistant, and lightweight luxury finish.</t>
  </si>
  <si>
    <t>Transform your look beautifully.</t>
  </si>
  <si>
    <t>Twin heart Neclace</t>
  </si>
  <si>
    <t>https://minella.in/product/209</t>
  </si>
  <si>
    <t>https://drive.google.com/uc?export=download&amp;id=1AN58GVvtmrYxMhDrAJmvNgwiGlqtw7D5</t>
  </si>
  <si>
    <t>Twin Heart Necklace</t>
  </si>
  <si>
    <t>Dual-heart necklace symbolizing connection, anti-tarnish, and water-resistant.</t>
  </si>
  <si>
    <t>Two hearts, one story.</t>
  </si>
  <si>
    <t>Floating heart Necklace</t>
  </si>
  <si>
    <t>https://minella.in/product/210</t>
  </si>
  <si>
    <t>https://drive.google.com/uc?export=download&amp;id=1ZW93NbaQ8OYdxNBPU-9dLS1OhaUhESNN</t>
  </si>
  <si>
    <t>Floating Heart Necklace</t>
  </si>
  <si>
    <t>Minimal floating heart design, anti-tarnish, water-resistant, and ultra-premium feel.</t>
  </si>
  <si>
    <t>Love that never weighs you down.</t>
  </si>
  <si>
    <t>Asymetrical Drop Earring</t>
  </si>
  <si>
    <t>https://minella.in/product/211</t>
  </si>
  <si>
    <t>https://drive.google.com/uc?export=download&amp;id=1gmmUJsfo96k3404XgeZy-i42TSiWTOdj</t>
  </si>
  <si>
    <t>Asymmetrical Drop Earring</t>
  </si>
  <si>
    <t>Unique asymmetrical design, anti-tarnish, water-resistant, and crafted for modern elegance.</t>
  </si>
  <si>
    <t>Stand out without trying.</t>
  </si>
  <si>
    <t>Star layered Necklace</t>
  </si>
  <si>
    <t>https://minella.in/product/212</t>
  </si>
  <si>
    <t>https://drive.google.com/file/d/1ZX8-zUgyC9KY3hZAtkJV52T0Kx5qrB0e/view?usp=drive_link</t>
  </si>
  <si>
    <t>https://drive.google.com/uc?export=download&amp;id=1ZX8-zUgyC9KY3hZAtkJV52T0Kx5qrB0e</t>
  </si>
  <si>
    <t>Star Layered Necklace</t>
  </si>
  <si>
    <t>Layered star necklace, anti-tarnish, water-resistant, and trendy premium finish.</t>
  </si>
  <si>
    <t>Layer your shine effortlessly.</t>
  </si>
  <si>
    <t>Heart Layered Necklace</t>
  </si>
  <si>
    <t>https://minella.in/product/213</t>
  </si>
  <si>
    <t>https://drive.google.com/file/d/1TA6H7hQtRdgIB4cKzA5xC3g-pgRLBUqX/view?usp=drive_link</t>
  </si>
  <si>
    <t>https://drive.google.com/uc?export=download&amp;id=1TA6H7hQtRdgIB4cKzA5xC3g-pgRLBUqX</t>
  </si>
  <si>
    <t>Layered heart design, anti-tarnish, water-resistant, and made for statement styling.</t>
  </si>
  <si>
    <t>Love, layered perfectly.</t>
  </si>
  <si>
    <t>Solitaire Necklace</t>
  </si>
  <si>
    <t>https://minella.in/product/214</t>
  </si>
  <si>
    <t>https://drive.google.com/uc?export=download&amp;id=1E2JF9_3Z5DzTewZaGFQCWY1qg-40gq9Y</t>
  </si>
  <si>
    <t>Classic solitaire necklace, anti-tarnish, water-resistant, and timeless premium design.</t>
  </si>
  <si>
    <t>Simplicity is the ultimate luxury.</t>
  </si>
  <si>
    <t>Infinity Necklace</t>
  </si>
  <si>
    <t>https://minella.in/product/215</t>
  </si>
  <si>
    <t>https://drive.google.com/uc?export=download&amp;id=1ZLDVJRph6N-cSIPAM68xVk6_EHLQcB9W</t>
  </si>
  <si>
    <t>Infinity symbol necklace, anti-tarnish, water-resistant, and meaningful design.</t>
  </si>
  <si>
    <t>Style that lasts forever.</t>
  </si>
  <si>
    <t>Lined Heart Earrings</t>
  </si>
  <si>
    <t>https://minella.in/product/216</t>
  </si>
  <si>
    <t>https://drive.google.com/uc?export=download&amp;id=17qCQWohBbWVjo_yWsJiFljI1KNFXWAgK</t>
  </si>
  <si>
    <t>Sleek heart-shaped earrings, anti-tarnish, water-resistant, and refined finish.</t>
  </si>
  <si>
    <t>Love in every line.</t>
  </si>
  <si>
    <t>Bow Necklace</t>
  </si>
  <si>
    <t>https://minella.in/product/217</t>
  </si>
  <si>
    <t>https://drive.google.com/uc?export=download&amp;id=1BJrVP6kv43UJ4D4pXR_cdmYfX62UWv3t</t>
  </si>
  <si>
    <t>Chic bow necklace, anti-tarnish, water-resistant, and elegant everyday wear.</t>
  </si>
  <si>
    <t>Sweet meets stylish.</t>
  </si>
  <si>
    <t>Bow Earring</t>
  </si>
  <si>
    <t>https://minella.in/product/218</t>
  </si>
  <si>
    <t>https://drive.google.com/uc?export=download&amp;id=14oO7_lW2dhw1mlxGCWltXDh8dhDayPRk</t>
  </si>
  <si>
    <t>Matching bow earrings, anti-tarnish, water-resistant, and lightweight design.</t>
  </si>
  <si>
    <t>A little charm goes a long way.</t>
  </si>
  <si>
    <t>Knot Cuff Bracelet</t>
  </si>
  <si>
    <t>https://minella.in/product/220</t>
  </si>
  <si>
    <t>https://drive.google.com/uc?export=download&amp;id=1hXscwWJ3N-YMynvR-2W1HpYJkeGFwi2U</t>
  </si>
  <si>
    <t>Knot-style cuff bracelet, anti-tarnish, water-resistant, and bold premium look.</t>
  </si>
  <si>
    <t>Strength wrapped in style.</t>
  </si>
  <si>
    <t>Wrap Around Bracelet</t>
  </si>
  <si>
    <t>https://minella.in/product/221</t>
  </si>
  <si>
    <t>https://drive.google.com/uc?export=download&amp;id=1stcf-JqWfKB8NMlrkxfmQ2G7gW_5TtQJ</t>
  </si>
  <si>
    <t>Stylish wrap bracelet, anti-tarnish, water-resistant, and flexible fit.</t>
  </si>
  <si>
    <t>Wrap yourself in elegance.</t>
  </si>
  <si>
    <t>Nail Bracelet</t>
  </si>
  <si>
    <t>https://minella.in/product/222</t>
  </si>
  <si>
    <t>https://drive.google.com/uc?export=download&amp;id=1_RKdkZvBV2WLdaWLNzU2RhHCkQAxvzKo</t>
  </si>
  <si>
    <t>Modern nail design bracelet, anti-tarnish, water-resistant, and edgy luxury finish.</t>
  </si>
  <si>
    <t>Bold is beautiful.</t>
  </si>
  <si>
    <t>Evil Eye Buddha Hand Necklace</t>
  </si>
  <si>
    <t>https://minella.in/product/223</t>
  </si>
  <si>
    <t>https://drive.google.com/uc?export=download&amp;id=1RVAcId-G31h92uzyQuFjD0Ro4pB7YxkG</t>
  </si>
  <si>
    <t>Protective charm necklace, anti-tarnish, water-resistant, and meaningful design.</t>
  </si>
  <si>
    <t>Style with protection and purpose.</t>
  </si>
  <si>
    <t>Little Heart Earring</t>
  </si>
  <si>
    <t>https://minella.in/product/224</t>
  </si>
  <si>
    <t>https://drive.google.com/uc?export=download&amp;id=1ZeetX-SwMzpV0xxmFbFgYDZD0v-4TRDu</t>
  </si>
  <si>
    <t>Cute minimal heart earrings, anti-tarnish, water-resistant, and perfect daily wear.</t>
  </si>
  <si>
    <t>Tiny love, big style.</t>
  </si>
  <si>
    <t>Star Drop Earring</t>
  </si>
  <si>
    <t>https://minella.in/product/225</t>
  </si>
  <si>
    <t>https://drive.google.com/uc?export=download&amp;id=1tA_Ru0rBFyNB9u98ot8P3RgOpNCuyOTt</t>
  </si>
  <si>
    <t>Star drop earrings, anti-tarnish, water-resistant, and elegant movement design.</t>
  </si>
  <si>
    <t>Let your sparkle drop.</t>
  </si>
  <si>
    <t>Heartstrings Necklace</t>
  </si>
  <si>
    <t>https://minella.in/product/226</t>
  </si>
  <si>
    <t>https://drive.google.com/file/d/1X75w9Dv4j-xUNV9ZQ04nKq9RG1AqPtLT/view?usp=drive_link</t>
  </si>
  <si>
    <t/>
  </si>
  <si>
    <t>https://drive.google.com/uc?export=download&amp;id=1X75w9Dv4j-xUNV9ZQ04nKq9RG1AqPtLT</t>
  </si>
  <si>
    <t>https://drive.google.com/uc?export=view&amp;id=11o-n7b2UKwvVWxBBXY3cGDjc-kFutvYx</t>
  </si>
  <si>
    <t>Romantic heart design, anti-tarnish, water-resistant, and premium finish.</t>
  </si>
  <si>
    <t>Pull every heart your way.</t>
  </si>
  <si>
    <t>Sun shine Necklace</t>
  </si>
  <si>
    <t>https://minella.in/product/227</t>
  </si>
  <si>
    <t>https://drive.google.com/file/d/1YFRPpv23JZYATvuovDeZ65R00RGovsVR/view?usp=drive_link</t>
  </si>
  <si>
    <t>https://drive.google.com/uc?export=download&amp;id=1YFRPpv23JZYATvuovDeZ65R00RGovsVR</t>
  </si>
  <si>
    <t>https://drive.google.com/uc?export=view&amp;id=1uRqY3p4-mkIBT80EJaEX0DGf8eEsn00G</t>
  </si>
  <si>
    <t>Sunshine Necklace</t>
  </si>
  <si>
    <t>Bright sun-inspired necklace, anti-tarnish, water-resistant, and radiant design.</t>
  </si>
  <si>
    <t>Carry your own sunshine.</t>
  </si>
  <si>
    <t>Glimmer Drop Necklace</t>
  </si>
  <si>
    <t>https://minella.in/product/228</t>
  </si>
  <si>
    <t>https://drive.google.com/file/d/1GwxHWotpNBukAg9nJEVVJoL2SEuh_Lh0/view?usp=drive_link , https://drive.google.com/file/d/1i2jL0q5wVNnxP63VDuQ8E1R8BElO-z3b/view?usp=drive_link</t>
  </si>
  <si>
    <t>https://drive.google.com/uc?export=download&amp;id=1GwxHWotpNBukAg9nJEVVJoL2SEuh_Lh0</t>
  </si>
  <si>
    <t>https://drive.google.com/uc?export=view&amp;id=1WxH8ZghcLrUIwvUFOjw1eRQRV2i7PUY9</t>
  </si>
  <si>
    <t>Sparkling drop necklace, anti-tarnish, water-resistant, and refined shine.</t>
  </si>
  <si>
    <t>Shine with every step.</t>
  </si>
  <si>
    <t>Solitaire Heart Necklace</t>
  </si>
  <si>
    <t>https://minella.in/product/229</t>
  </si>
  <si>
    <t>https://drive.google.com/file/d/1NWsAIanXuyE0mXNIC5nUJjo4sj4yjA_R/view?usp=drive_link</t>
  </si>
  <si>
    <t>https://drive.google.com/uc?export=download&amp;id=1NWsAIanXuyE0mXNIC5nUJjo4sj4yjA_R</t>
  </si>
  <si>
    <t>https://drive.google.com/uc?export=view&amp;id=142s6-NM38WNKVtVDcqVdNMVTTNKNnGd6</t>
  </si>
  <si>
    <t>Heart + solitaire combo, anti-tarnish, water-resistant, and elegant design.</t>
  </si>
  <si>
    <t>Love, but make it timeless.</t>
  </si>
  <si>
    <t>Confetti Drop Necklace</t>
  </si>
  <si>
    <t>https://minella.in/product/230</t>
  </si>
  <si>
    <t>https://drive.google.com/file/d/1jj2ic7LIfkKtJzL3l2QwBzkI9Yi2j0gP/view?usp=drive_link</t>
  </si>
  <si>
    <t>https://drive.google.com/uc?export=download&amp;id=1jj2ic7LIfkKtJzL3l2QwBzkI9Yi2j0gP</t>
  </si>
  <si>
    <t>https://drive.google.com/uc?export=view&amp;id=1ess6nm_Y0wwvfoOSMFCCaEYb5g7MOdbX</t>
  </si>
  <si>
    <t>Playful drop design, anti-tarnish, water-resistant, and stylish finish.</t>
  </si>
  <si>
    <t>Celebrate every moment.</t>
  </si>
  <si>
    <t>Tennis Bracelet</t>
  </si>
  <si>
    <t>https://minella.in/product/231</t>
  </si>
  <si>
    <t>https://drive.google.com/file/d/1xAbWo2L_Mht2MXZVH2B5j4UbyRyztskE/view?usp=drive_link</t>
  </si>
  <si>
    <t>https://drive.google.com/uc?export=download&amp;id=1xAbWo2L_Mht2MXZVH2B5j4UbyRyztskE</t>
  </si>
  <si>
    <t>Classic tennis bracelet, anti-tarnish, water-resistant, and premium luxury look.</t>
  </si>
  <si>
    <t>Pure elegance on your wrist.</t>
  </si>
  <si>
    <t>Midnight Aura Necklace</t>
  </si>
  <si>
    <t>https://minella.in/product/232</t>
  </si>
  <si>
    <t>https://drive.google.com/file/d/1FO4V--GFcT0JXciHQK_8jN3FdYHs6j4V/view?usp=drive_link</t>
  </si>
  <si>
    <t>https://drive.google.com/uc?export=download&amp;id=1FO4V--GFcT0JXciHQK_8jN3FdYHs6j4V</t>
  </si>
  <si>
    <t>https://drive.google.com/uc?export=view&amp;id=1CbSaCoArjYj62OjUvy3R2RKkiYCbMshb</t>
  </si>
  <si>
    <t>Dark-toned elegant necklace, anti-tarnish, water-resistant, and premium finish.</t>
  </si>
  <si>
    <t>Own the night in style.</t>
  </si>
  <si>
    <t>Charm Anklet</t>
  </si>
  <si>
    <t>https://minella.in/product/233</t>
  </si>
  <si>
    <t>https://drive.google.com/file/d/1Mirr3RzSclDbH31VMJhg16z49Pulh7mv/view?usp=drive_link</t>
  </si>
  <si>
    <t>https://drive.google.com/uc?export=download&amp;id=1Mirr3RzSclDbH31VMJhg16z49Pulh7mv</t>
  </si>
  <si>
    <t>Delicate charm anklet, anti-tarnish, water-resistant, and lightweight design.</t>
  </si>
  <si>
    <t>Walk with a little charm.</t>
  </si>
  <si>
    <t>Cupid Bow Necklace</t>
  </si>
  <si>
    <t>https://minella.in/product/236</t>
  </si>
  <si>
    <t>https://drive.google.com/file/d/1kR6aD0IphFgkm7xwTBDHZ8egty-6pVNq/view?usp=drive_link</t>
  </si>
  <si>
    <t>https://drive.google.com/uc?export=download&amp;id=1kR6aD0IphFgkm7xwTBDHZ8egty-6pVNq</t>
  </si>
  <si>
    <t>https://drive.google.com/uc?export=view&amp;id=1ecE7bTyKEf88J2umZCecTzaG5xXPWZm6</t>
  </si>
  <si>
    <t>Romantic bow design, anti-tarnish, water-resistant, and premium finish.</t>
  </si>
  <si>
    <t>Love strikes in style.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</si>
</sst>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u/>
      <sz val="11.0"/>
      <color rgb="FF0000FF"/>
    </font>
    <font>
      <sz val="11.0"/>
      <color theme="1"/>
      <name val="Arial"/>
      <scheme val="minor"/>
    </font>
    <font>
      <b/>
      <color theme="1"/>
      <name val="Arial"/>
      <scheme val="minor"/>
    </font>
    <font>
      <sz val="9.0"/>
      <color theme="1"/>
      <name val="Arial"/>
      <scheme val="minor"/>
    </font>
    <font>
      <sz val="11.0"/>
      <color rgb="FF000000"/>
      <name val="&quot;Aptos Narrow&quot;"/>
    </font>
    <font>
      <u/>
      <sz val="12.0"/>
      <color rgb="FF0000FF"/>
      <name val="&quot;Times New Roman&quot;"/>
    </font>
    <font>
      <u/>
      <sz val="9.0"/>
      <color rgb="FF0000FF"/>
    </font>
    <font>
      <u/>
      <sz val="9.0"/>
      <color rgb="FF0000FF"/>
    </font>
    <font>
      <sz val="11.0"/>
      <color rgb="FF000000"/>
      <name val="Arial"/>
    </font>
    <font>
      <u/>
      <sz val="9.0"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EEEEE"/>
        <bgColor rgb="FFEEEEEE"/>
      </patternFill>
    </fill>
    <fill>
      <patternFill patternType="solid">
        <fgColor rgb="FFE4ECF9"/>
        <bgColor rgb="FFE4ECF9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vertical="center"/>
    </xf>
    <xf borderId="0" fillId="2" fontId="3" numFmtId="0" xfId="0" applyAlignment="1" applyFill="1" applyFont="1">
      <alignment horizontal="left" vertical="center"/>
    </xf>
    <xf borderId="0" fillId="2" fontId="3" numFmtId="0" xfId="0" applyAlignment="1" applyFill="1" applyFont="1">
      <alignment horizontal="left" readingOrder="0" vertical="center"/>
    </xf>
    <xf borderId="0" fillId="2" fontId="3" numFmtId="0" xfId="0" applyAlignment="1" applyFill="1" applyFont="1">
      <alignment horizontal="left" vertical="center"/>
    </xf>
    <xf borderId="0" fillId="0" fontId="4" numFmtId="0" xfId="0" applyAlignment="1" applyFont="1">
      <alignment horizontal="center" readingOrder="0"/>
    </xf>
    <xf borderId="0" fillId="3" fontId="5" numFmtId="0" xfId="0" applyAlignment="1" applyFill="1" applyFont="1">
      <alignment horizontal="left" readingOrder="0" shrinkToFit="0" vertical="top" wrapText="1"/>
    </xf>
    <xf borderId="0" fillId="0" fontId="6" numFmtId="0" xfId="0" applyAlignment="1" applyFont="1">
      <alignment readingOrder="0" shrinkToFit="0" vertical="bottom" wrapText="0"/>
    </xf>
    <xf borderId="0" fillId="4" fontId="5" numFmtId="0" xfId="0" applyAlignment="1" applyFill="1" applyFont="1">
      <alignment horizontal="left" shrinkToFit="0" vertical="top" wrapText="1"/>
    </xf>
    <xf borderId="0" fillId="0" fontId="7" numFmtId="0" xfId="0" applyAlignment="1" applyFont="1">
      <alignment readingOrder="0"/>
    </xf>
    <xf borderId="0" fillId="3" fontId="8" numFmtId="0" xfId="0" applyAlignment="1" applyFill="1" applyFont="1">
      <alignment horizontal="left" readingOrder="0" shrinkToFit="0" vertical="top" wrapText="1"/>
    </xf>
    <xf borderId="0" fillId="0" fontId="6" numFmtId="0" xfId="0" applyAlignment="1" applyFont="1">
      <alignment horizontal="right" readingOrder="0" shrinkToFit="0" vertical="bottom" wrapText="0"/>
    </xf>
    <xf borderId="0" fillId="3" fontId="9" numFmtId="0" xfId="0" applyAlignment="1" applyFill="1" applyFont="1">
      <alignment horizontal="left" readingOrder="0" shrinkToFit="0" vertical="top" wrapText="1"/>
    </xf>
    <xf borderId="0" fillId="3" fontId="5" numFmtId="0" xfId="0" applyAlignment="1" applyFill="1" applyFont="1">
      <alignment horizontal="left" shrinkToFit="0" vertical="top" wrapText="1"/>
    </xf>
    <xf borderId="0" fillId="0" fontId="10" numFmtId="0" xfId="0" applyAlignment="1" applyFont="1">
      <alignment horizontal="right" readingOrder="0" shrinkToFit="0" vertical="bottom" wrapText="0"/>
    </xf>
    <xf borderId="0" fillId="4" fontId="5" numFmtId="0" xfId="0" applyAlignment="1" applyFill="1" applyFont="1">
      <alignment horizontal="left" readingOrder="0" shrinkToFit="0" vertical="top" wrapText="1"/>
    </xf>
    <xf borderId="0" fillId="4" fontId="11" numFmtId="0" xfId="0" applyAlignment="1" applyFill="1" applyFont="1">
      <alignment horizontal="left" readingOrder="0" shrinkToFit="0" vertical="top" wrapText="1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uc?export=download&amp;id=1hXscwWJ3N-YMynvR-2W1HpYJkeGFwi2U" TargetMode="External"/><Relationship Id="rId42" Type="http://schemas.openxmlformats.org/officeDocument/2006/relationships/hyperlink" Target="https://drive.google.com/uc?export=download&amp;id=1stcf-JqWfKB8NMlrkxfmQ2G7gW_5TtQJ" TargetMode="External"/><Relationship Id="rId41" Type="http://schemas.openxmlformats.org/officeDocument/2006/relationships/hyperlink" Target="https://minella.in/product?id=221" TargetMode="External"/><Relationship Id="rId44" Type="http://schemas.openxmlformats.org/officeDocument/2006/relationships/hyperlink" Target="https://drive.google.com/uc?export=download&amp;id=1_RKdkZvBV2WLdaWLNzU2RhHCkQAxvzKo" TargetMode="External"/><Relationship Id="rId43" Type="http://schemas.openxmlformats.org/officeDocument/2006/relationships/hyperlink" Target="https://minella.in/product?id=222" TargetMode="External"/><Relationship Id="rId46" Type="http://schemas.openxmlformats.org/officeDocument/2006/relationships/hyperlink" Target="https://drive.google.com/uc?export=download&amp;id=1RVAcId-G31h92uzyQuFjD0Ro4pB7YxkG" TargetMode="External"/><Relationship Id="rId45" Type="http://schemas.openxmlformats.org/officeDocument/2006/relationships/hyperlink" Target="https://minella.in/product?id=223" TargetMode="External"/><Relationship Id="rId1" Type="http://schemas.openxmlformats.org/officeDocument/2006/relationships/hyperlink" Target="https://minella.in/product?id=201" TargetMode="External"/><Relationship Id="rId2" Type="http://schemas.openxmlformats.org/officeDocument/2006/relationships/hyperlink" Target="https://drive.google.com/uc?export=download&amp;id=1Eq1doVHdGXB3_Trg-LmiIT7yfO9Tw0SG" TargetMode="External"/><Relationship Id="rId3" Type="http://schemas.openxmlformats.org/officeDocument/2006/relationships/hyperlink" Target="https://drive.google.com/uc?export=download&amp;id=1HCMx13bSUhmIxVPkpF-0qaCVL47TpXo7" TargetMode="External"/><Relationship Id="rId4" Type="http://schemas.openxmlformats.org/officeDocument/2006/relationships/hyperlink" Target="https://minella.in/product?id=202" TargetMode="External"/><Relationship Id="rId9" Type="http://schemas.openxmlformats.org/officeDocument/2006/relationships/hyperlink" Target="https://minella.in/product?id=204" TargetMode="External"/><Relationship Id="rId48" Type="http://schemas.openxmlformats.org/officeDocument/2006/relationships/hyperlink" Target="https://drive.google.com/uc?export=download&amp;id=1ZeetX-SwMzpV0xxmFbFgYDZD0v-4TRDu" TargetMode="External"/><Relationship Id="rId47" Type="http://schemas.openxmlformats.org/officeDocument/2006/relationships/hyperlink" Target="https://minella.in/product?id=224" TargetMode="External"/><Relationship Id="rId49" Type="http://schemas.openxmlformats.org/officeDocument/2006/relationships/hyperlink" Target="https://minella.in/product?id=225" TargetMode="External"/><Relationship Id="rId5" Type="http://schemas.openxmlformats.org/officeDocument/2006/relationships/hyperlink" Target="https://drive.google.com/file/d/1YNgPqz995bKmqDLYEbLLd7apg4D0r78B/view?usp=drive_link" TargetMode="External"/><Relationship Id="rId6" Type="http://schemas.openxmlformats.org/officeDocument/2006/relationships/hyperlink" Target="https://drive.google.com/uc?export=download&amp;id=1iXPXrji4V-ZL-paw2Yn6ZycWbLSjhLiM" TargetMode="External"/><Relationship Id="rId7" Type="http://schemas.openxmlformats.org/officeDocument/2006/relationships/hyperlink" Target="https://minella.in/product?id=203" TargetMode="External"/><Relationship Id="rId8" Type="http://schemas.openxmlformats.org/officeDocument/2006/relationships/hyperlink" Target="https://drive.google.com/uc?export=download&amp;id=1jIfCuMQgzvOnRLDlredWzS_xZ3KiFk3p" TargetMode="External"/><Relationship Id="rId73" Type="http://schemas.openxmlformats.org/officeDocument/2006/relationships/hyperlink" Target="https://minella.in/product?id=236" TargetMode="External"/><Relationship Id="rId72" Type="http://schemas.openxmlformats.org/officeDocument/2006/relationships/hyperlink" Target="https://drive.google.com/file/d/1Mirr3RzSclDbH31VMJhg16z49Pulh7mv/view?usp=drive_link" TargetMode="External"/><Relationship Id="rId31" Type="http://schemas.openxmlformats.org/officeDocument/2006/relationships/hyperlink" Target="https://minella.in/product?id=215" TargetMode="External"/><Relationship Id="rId75" Type="http://schemas.openxmlformats.org/officeDocument/2006/relationships/hyperlink" Target="https://drive.google.com/uc?export=download&amp;id=1kR6aD0IphFgkm7xwTBDHZ8egty-6pVNq" TargetMode="External"/><Relationship Id="rId30" Type="http://schemas.openxmlformats.org/officeDocument/2006/relationships/hyperlink" Target="https://drive.google.com/uc?export=download&amp;id=1E2JF9_3Z5DzTewZaGFQCWY1qg-40gq9Y" TargetMode="External"/><Relationship Id="rId74" Type="http://schemas.openxmlformats.org/officeDocument/2006/relationships/hyperlink" Target="https://drive.google.com/file/d/1kR6aD0IphFgkm7xwTBDHZ8egty-6pVNq/view?usp=drive_link" TargetMode="External"/><Relationship Id="rId33" Type="http://schemas.openxmlformats.org/officeDocument/2006/relationships/hyperlink" Target="https://minella.in/product?id=216" TargetMode="External"/><Relationship Id="rId77" Type="http://schemas.openxmlformats.org/officeDocument/2006/relationships/drawing" Target="../drawings/drawing1.xml"/><Relationship Id="rId32" Type="http://schemas.openxmlformats.org/officeDocument/2006/relationships/hyperlink" Target="https://drive.google.com/uc?export=download&amp;id=1ZLDVJRph6N-cSIPAM68xVk6_EHLQcB9W" TargetMode="External"/><Relationship Id="rId76" Type="http://schemas.openxmlformats.org/officeDocument/2006/relationships/hyperlink" Target="https://drive.google.com/uc?export=view&amp;id=1ecE7bTyKEf88J2umZCecTzaG5xXPWZm6" TargetMode="External"/><Relationship Id="rId35" Type="http://schemas.openxmlformats.org/officeDocument/2006/relationships/hyperlink" Target="https://minella.in/product?id=217" TargetMode="External"/><Relationship Id="rId34" Type="http://schemas.openxmlformats.org/officeDocument/2006/relationships/hyperlink" Target="https://drive.google.com/uc?export=download&amp;id=17qCQWohBbWVjo_yWsJiFljI1KNFXWAgK" TargetMode="External"/><Relationship Id="rId71" Type="http://schemas.openxmlformats.org/officeDocument/2006/relationships/hyperlink" Target="https://minella.in/product?id=233" TargetMode="External"/><Relationship Id="rId70" Type="http://schemas.openxmlformats.org/officeDocument/2006/relationships/hyperlink" Target="https://drive.google.com/uc?export=view&amp;id=1CbSaCoArjYj62OjUvy3R2RKkiYCbMshb" TargetMode="External"/><Relationship Id="rId37" Type="http://schemas.openxmlformats.org/officeDocument/2006/relationships/hyperlink" Target="https://minella.in/product?id=218" TargetMode="External"/><Relationship Id="rId36" Type="http://schemas.openxmlformats.org/officeDocument/2006/relationships/hyperlink" Target="https://drive.google.com/uc?export=download&amp;id=1BJrVP6kv43UJ4D4pXR_cdmYfX62UWv3t" TargetMode="External"/><Relationship Id="rId39" Type="http://schemas.openxmlformats.org/officeDocument/2006/relationships/hyperlink" Target="https://minella.in/product?id=220" TargetMode="External"/><Relationship Id="rId38" Type="http://schemas.openxmlformats.org/officeDocument/2006/relationships/hyperlink" Target="https://drive.google.com/uc?export=download&amp;id=14oO7_lW2dhw1mlxGCWltXDh8dhDayPRk" TargetMode="External"/><Relationship Id="rId62" Type="http://schemas.openxmlformats.org/officeDocument/2006/relationships/hyperlink" Target="https://minella.in/product?id=230" TargetMode="External"/><Relationship Id="rId61" Type="http://schemas.openxmlformats.org/officeDocument/2006/relationships/hyperlink" Target="https://drive.google.com/uc?export=view&amp;id=142s6-NM38WNKVtVDcqVdNMVTTNKNnGd6" TargetMode="External"/><Relationship Id="rId20" Type="http://schemas.openxmlformats.org/officeDocument/2006/relationships/hyperlink" Target="https://drive.google.com/uc?export=download&amp;id=1AN58GVvtmrYxMhDrAJmvNgwiGlqtw7D5" TargetMode="External"/><Relationship Id="rId64" Type="http://schemas.openxmlformats.org/officeDocument/2006/relationships/hyperlink" Target="https://drive.google.com/uc?export=view&amp;id=1ess6nm_Y0wwvfoOSMFCCaEYb5g7MOdbX" TargetMode="External"/><Relationship Id="rId63" Type="http://schemas.openxmlformats.org/officeDocument/2006/relationships/hyperlink" Target="https://drive.google.com/file/d/1jj2ic7LIfkKtJzL3l2QwBzkI9Yi2j0gP/view?usp=drive_link" TargetMode="External"/><Relationship Id="rId22" Type="http://schemas.openxmlformats.org/officeDocument/2006/relationships/hyperlink" Target="https://drive.google.com/uc?export=download&amp;id=1ZW93NbaQ8OYdxNBPU-9dLS1OhaUhESNN" TargetMode="External"/><Relationship Id="rId66" Type="http://schemas.openxmlformats.org/officeDocument/2006/relationships/hyperlink" Target="https://drive.google.com/file/d/1xAbWo2L_Mht2MXZVH2B5j4UbyRyztskE/view?usp=drive_link" TargetMode="External"/><Relationship Id="rId21" Type="http://schemas.openxmlformats.org/officeDocument/2006/relationships/hyperlink" Target="https://minella.in/product?id=210" TargetMode="External"/><Relationship Id="rId65" Type="http://schemas.openxmlformats.org/officeDocument/2006/relationships/hyperlink" Target="https://minella.in/product?id=231" TargetMode="External"/><Relationship Id="rId24" Type="http://schemas.openxmlformats.org/officeDocument/2006/relationships/hyperlink" Target="https://drive.google.com/uc?export=download&amp;id=1gmmUJsfo96k3404XgeZy-i42TSiWTOdj" TargetMode="External"/><Relationship Id="rId68" Type="http://schemas.openxmlformats.org/officeDocument/2006/relationships/hyperlink" Target="https://drive.google.com/file/d/1FO4V--GFcT0JXciHQK_8jN3FdYHs6j4V/view?usp=drive_link" TargetMode="External"/><Relationship Id="rId23" Type="http://schemas.openxmlformats.org/officeDocument/2006/relationships/hyperlink" Target="https://minella.in/product?id=211" TargetMode="External"/><Relationship Id="rId67" Type="http://schemas.openxmlformats.org/officeDocument/2006/relationships/hyperlink" Target="https://minella.in/product?id=232" TargetMode="External"/><Relationship Id="rId60" Type="http://schemas.openxmlformats.org/officeDocument/2006/relationships/hyperlink" Target="https://drive.google.com/file/d/1NWsAIanXuyE0mXNIC5nUJjo4sj4yjA_R/view?usp=drive_link" TargetMode="External"/><Relationship Id="rId26" Type="http://schemas.openxmlformats.org/officeDocument/2006/relationships/hyperlink" Target="https://drive.google.com/file/d/1ZX8-zUgyC9KY3hZAtkJV52T0Kx5qrB0e/view?usp=drive_link" TargetMode="External"/><Relationship Id="rId25" Type="http://schemas.openxmlformats.org/officeDocument/2006/relationships/hyperlink" Target="https://minella.in/product?id=212" TargetMode="External"/><Relationship Id="rId69" Type="http://schemas.openxmlformats.org/officeDocument/2006/relationships/hyperlink" Target="https://drive.google.com/uc?export=download&amp;id=1FO4V--GFcT0JXciHQK_8jN3FdYHs6j4V" TargetMode="External"/><Relationship Id="rId28" Type="http://schemas.openxmlformats.org/officeDocument/2006/relationships/hyperlink" Target="https://drive.google.com/file/d/1TA6H7hQtRdgIB4cKzA5xC3g-pgRLBUqX/view?usp=drive_link" TargetMode="External"/><Relationship Id="rId27" Type="http://schemas.openxmlformats.org/officeDocument/2006/relationships/hyperlink" Target="https://minella.in/product?id=213" TargetMode="External"/><Relationship Id="rId29" Type="http://schemas.openxmlformats.org/officeDocument/2006/relationships/hyperlink" Target="https://minella.in/product?id=214" TargetMode="External"/><Relationship Id="rId51" Type="http://schemas.openxmlformats.org/officeDocument/2006/relationships/hyperlink" Target="https://minella.in/product?id=226" TargetMode="External"/><Relationship Id="rId50" Type="http://schemas.openxmlformats.org/officeDocument/2006/relationships/hyperlink" Target="https://drive.google.com/uc?export=download&amp;id=1tA_Ru0rBFyNB9u98ot8P3RgOpNCuyOTt" TargetMode="External"/><Relationship Id="rId53" Type="http://schemas.openxmlformats.org/officeDocument/2006/relationships/hyperlink" Target="https://drive.google.com/uc?export=view&amp;id=11o-n7b2UKwvVWxBBXY3cGDjc-kFutvYx" TargetMode="External"/><Relationship Id="rId52" Type="http://schemas.openxmlformats.org/officeDocument/2006/relationships/hyperlink" Target="https://drive.google.com/file/d/1X75w9Dv4j-xUNV9ZQ04nKq9RG1AqPtLT/view?usp=drive_link" TargetMode="External"/><Relationship Id="rId11" Type="http://schemas.openxmlformats.org/officeDocument/2006/relationships/hyperlink" Target="https://minella.in/product?id=205" TargetMode="External"/><Relationship Id="rId55" Type="http://schemas.openxmlformats.org/officeDocument/2006/relationships/hyperlink" Target="https://drive.google.com/file/d/1YFRPpv23JZYATvuovDeZ65R00RGovsVR/view?usp=drive_link" TargetMode="External"/><Relationship Id="rId10" Type="http://schemas.openxmlformats.org/officeDocument/2006/relationships/hyperlink" Target="https://drive.google.com/uc?export=download&amp;id=1WwxZ8QFPl0dLMu3hlGfaFQccFtZ4H3gV" TargetMode="External"/><Relationship Id="rId54" Type="http://schemas.openxmlformats.org/officeDocument/2006/relationships/hyperlink" Target="https://minella.in/product?id=227" TargetMode="External"/><Relationship Id="rId13" Type="http://schemas.openxmlformats.org/officeDocument/2006/relationships/hyperlink" Target="https://minella.in/product?id=206" TargetMode="External"/><Relationship Id="rId57" Type="http://schemas.openxmlformats.org/officeDocument/2006/relationships/hyperlink" Target="https://minella.in/product?id=228" TargetMode="External"/><Relationship Id="rId12" Type="http://schemas.openxmlformats.org/officeDocument/2006/relationships/hyperlink" Target="https://drive.google.com/uc?export=download&amp;id=1O42Z0PPJb08fW0DfXWVGxV-6a0PNSwu1" TargetMode="External"/><Relationship Id="rId56" Type="http://schemas.openxmlformats.org/officeDocument/2006/relationships/hyperlink" Target="https://drive.google.com/uc?export=view&amp;id=1uRqY3p4-mkIBT80EJaEX0DGf8eEsn00G" TargetMode="External"/><Relationship Id="rId15" Type="http://schemas.openxmlformats.org/officeDocument/2006/relationships/hyperlink" Target="https://minella.in/product?id=207" TargetMode="External"/><Relationship Id="rId59" Type="http://schemas.openxmlformats.org/officeDocument/2006/relationships/hyperlink" Target="https://minella.in/product?id=229" TargetMode="External"/><Relationship Id="rId14" Type="http://schemas.openxmlformats.org/officeDocument/2006/relationships/hyperlink" Target="https://drive.google.com/uc?export=download&amp;id=1zHfZjL_zJjsBz-aA6gK7M7bDEDm6SLWW" TargetMode="External"/><Relationship Id="rId58" Type="http://schemas.openxmlformats.org/officeDocument/2006/relationships/hyperlink" Target="https://drive.google.com/uc?export=view&amp;id=1WxH8ZghcLrUIwvUFOjw1eRQRV2i7PUY9" TargetMode="External"/><Relationship Id="rId17" Type="http://schemas.openxmlformats.org/officeDocument/2006/relationships/hyperlink" Target="https://minella.in/product?id=208" TargetMode="External"/><Relationship Id="rId16" Type="http://schemas.openxmlformats.org/officeDocument/2006/relationships/hyperlink" Target="https://drive.google.com/uc?export=download&amp;id=1bJySRhcphvMNk8QfS__xomZJ-Ya9EQB2" TargetMode="External"/><Relationship Id="rId19" Type="http://schemas.openxmlformats.org/officeDocument/2006/relationships/hyperlink" Target="https://minella.in/product?id=209" TargetMode="External"/><Relationship Id="rId18" Type="http://schemas.openxmlformats.org/officeDocument/2006/relationships/hyperlink" Target="https://drive.google.com/uc?export=download&amp;id=1k4x1hDkORmrutunaA38rdQP-JtCjqo5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5.13"/>
    <col customWidth="1" min="5" max="5" width="27.0"/>
    <col customWidth="1" min="6" max="6" width="30.13"/>
    <col customWidth="1" min="7" max="12" width="25.13"/>
    <col customWidth="1" min="13" max="13" width="15.25"/>
    <col customWidth="1" min="14" max="14" width="10.88"/>
    <col customWidth="1" min="15" max="17" width="15.0"/>
    <col customWidth="1" min="18" max="18" width="8.75"/>
    <col customWidth="1" min="19" max="20" width="25.0"/>
    <col customWidth="1" min="21" max="21" width="30.5"/>
    <col customWidth="1" min="22" max="22" width="78.0"/>
  </cols>
  <sheetData>
    <row r="1">
      <c r="A1" s="4" t="str">
        <f>HYPERLINK("https://support.google.com/merchants/answer/6324405", "id")</f>
        <v>id</v>
      </c>
      <c r="B1" s="4" t="str">
        <f>HYPERLINK("https://support.google.com/merchants/answer/6324415", "title")</f>
        <v>title</v>
      </c>
      <c r="C1" s="4" t="str">
        <f>HYPERLINK("https://support.google.com/merchants/answer/6324468", "description")</f>
        <v>description</v>
      </c>
      <c r="D1" s="4" t="str">
        <f>HYPERLINK("https://support.google.com/merchants/answer/6324448", "availability")</f>
        <v>availability</v>
      </c>
      <c r="E1" s="4" t="str">
        <f>HYPERLINK("https://support.google.com/merchants/answer/6324416", "link")</f>
        <v>link</v>
      </c>
      <c r="F1" s="4" t="str">
        <f>HYPERLINK("https://support.google.com/merchants/answer/6324350", "image link")</f>
        <v>image link</v>
      </c>
      <c r="G1" s="4" t="str">
        <f>HYPERLINK("https://support.google.com/merchants/answer/6324371", "price")</f>
        <v>price</v>
      </c>
      <c r="H1" s="4" t="str">
        <f>HYPERLINK("https://support.google.com/merchants/answer/6324478", "identifier exists")</f>
        <v>identifier exists</v>
      </c>
      <c r="I1" s="5" t="s">
        <v>51</v>
      </c>
      <c r="J1" s="4" t="str">
        <f>HYPERLINK("https://support.google.com/merchants/answer/9216100", "product highlight")</f>
        <v>product highlight</v>
      </c>
      <c r="K1" s="4" t="str">
        <f>HYPERLINK("https://support.google.com/merchants/answer/9218260", "product detail")</f>
        <v>product detail</v>
      </c>
      <c r="L1" s="4" t="str">
        <f>HYPERLINK("https://support.google.com/merchants/answer/6324469", "condition")</f>
        <v>condition</v>
      </c>
      <c r="M1" s="6" t="s">
        <v>68</v>
      </c>
      <c r="N1" s="2" t="s">
        <v>70</v>
      </c>
      <c r="O1" s="7" t="s">
        <v>72</v>
      </c>
      <c r="P1" s="6" t="s">
        <v>73</v>
      </c>
      <c r="Q1" s="6" t="s">
        <v>75</v>
      </c>
      <c r="R1" s="6" t="s">
        <v>77</v>
      </c>
      <c r="S1" s="8" t="s">
        <v>78</v>
      </c>
      <c r="T1" s="8" t="s">
        <v>80</v>
      </c>
      <c r="U1" s="8" t="s">
        <v>81</v>
      </c>
      <c r="V1" s="8" t="s">
        <v>83</v>
      </c>
    </row>
    <row r="2">
      <c r="A2" s="9">
        <v>201.0</v>
      </c>
      <c r="B2" s="10" t="s">
        <v>86</v>
      </c>
      <c r="C2" s="9" t="s">
        <v>87</v>
      </c>
      <c r="D2" s="11" t="s">
        <v>91</v>
      </c>
      <c r="E2" s="12" t="s">
        <v>96</v>
      </c>
      <c r="F2" s="13" t="s">
        <v>114</v>
      </c>
      <c r="G2" s="14">
        <v>229.0</v>
      </c>
      <c r="H2" s="11" t="s">
        <v>123</v>
      </c>
      <c r="I2" s="9" t="s">
        <v>124</v>
      </c>
      <c r="J2" s="9" t="s">
        <v>125</v>
      </c>
      <c r="K2" s="9" t="s">
        <v>125</v>
      </c>
      <c r="L2" s="11" t="s">
        <v>126</v>
      </c>
      <c r="M2" s="15" t="s">
        <v>127</v>
      </c>
      <c r="N2" s="9"/>
      <c r="O2" s="16"/>
      <c r="P2" s="16"/>
      <c r="Q2" s="16"/>
      <c r="R2" s="17">
        <v>0.0</v>
      </c>
      <c r="S2" s="2" t="s">
        <v>128</v>
      </c>
      <c r="T2" s="2">
        <v>349.0</v>
      </c>
      <c r="U2" s="2" t="s">
        <v>129</v>
      </c>
      <c r="V2" s="2" t="s">
        <v>130</v>
      </c>
    </row>
    <row r="3">
      <c r="A3" s="18">
        <v>202.0</v>
      </c>
      <c r="B3" s="10" t="s">
        <v>131</v>
      </c>
      <c r="C3" s="9" t="s">
        <v>87</v>
      </c>
      <c r="D3" s="11" t="s">
        <v>91</v>
      </c>
      <c r="E3" s="12" t="s">
        <v>132</v>
      </c>
      <c r="F3" s="16" t="s">
        <v>133</v>
      </c>
      <c r="G3" s="14">
        <v>249.0</v>
      </c>
      <c r="H3" s="11" t="s">
        <v>123</v>
      </c>
      <c r="I3" s="9" t="s">
        <v>124</v>
      </c>
      <c r="J3" s="9" t="s">
        <v>125</v>
      </c>
      <c r="K3" s="9" t="s">
        <v>125</v>
      </c>
      <c r="L3" s="11" t="s">
        <v>126</v>
      </c>
      <c r="M3" s="9"/>
      <c r="N3" s="15" t="s">
        <v>134</v>
      </c>
      <c r="O3" s="19" t="s">
        <v>135</v>
      </c>
      <c r="P3" s="16"/>
      <c r="Q3" s="16"/>
      <c r="R3" s="14">
        <v>2.0</v>
      </c>
      <c r="S3" s="2" t="s">
        <v>131</v>
      </c>
      <c r="T3" s="2">
        <v>379.0</v>
      </c>
      <c r="U3" s="2" t="s">
        <v>136</v>
      </c>
      <c r="V3" s="2" t="s">
        <v>137</v>
      </c>
    </row>
    <row r="4">
      <c r="A4" s="9">
        <v>203.0</v>
      </c>
      <c r="B4" s="10" t="s">
        <v>138</v>
      </c>
      <c r="C4" s="9" t="s">
        <v>87</v>
      </c>
      <c r="D4" s="11" t="s">
        <v>91</v>
      </c>
      <c r="E4" s="12" t="s">
        <v>139</v>
      </c>
      <c r="F4" s="19" t="s">
        <v>140</v>
      </c>
      <c r="G4" s="14">
        <v>229.0</v>
      </c>
      <c r="H4" s="11" t="s">
        <v>123</v>
      </c>
      <c r="I4" s="9" t="s">
        <v>124</v>
      </c>
      <c r="J4" s="9" t="s">
        <v>125</v>
      </c>
      <c r="K4" s="9" t="s">
        <v>125</v>
      </c>
      <c r="L4" s="11" t="s">
        <v>126</v>
      </c>
      <c r="N4" s="9"/>
      <c r="O4" s="16"/>
      <c r="P4" s="16"/>
      <c r="Q4" s="16"/>
      <c r="R4" s="17">
        <v>0.0</v>
      </c>
      <c r="S4" s="2" t="s">
        <v>138</v>
      </c>
      <c r="T4" s="2">
        <v>349.0</v>
      </c>
      <c r="U4" s="2" t="s">
        <v>141</v>
      </c>
      <c r="V4" s="2" t="s">
        <v>142</v>
      </c>
    </row>
    <row r="5">
      <c r="A5" s="18">
        <v>204.0</v>
      </c>
      <c r="B5" s="10" t="s">
        <v>143</v>
      </c>
      <c r="C5" s="9" t="s">
        <v>87</v>
      </c>
      <c r="D5" s="11" t="s">
        <v>91</v>
      </c>
      <c r="E5" s="12" t="s">
        <v>144</v>
      </c>
      <c r="F5" s="20" t="s">
        <v>145</v>
      </c>
      <c r="G5" s="14">
        <v>269.0</v>
      </c>
      <c r="H5" s="11" t="s">
        <v>123</v>
      </c>
      <c r="I5" s="9" t="s">
        <v>124</v>
      </c>
      <c r="J5" s="9" t="s">
        <v>125</v>
      </c>
      <c r="K5" s="9" t="s">
        <v>125</v>
      </c>
      <c r="L5" s="11" t="s">
        <v>126</v>
      </c>
      <c r="M5" s="9"/>
      <c r="N5" s="9"/>
      <c r="O5" s="16"/>
      <c r="P5" s="16"/>
      <c r="Q5" s="16"/>
      <c r="R5" s="17">
        <v>3.0</v>
      </c>
      <c r="S5" s="2" t="s">
        <v>143</v>
      </c>
      <c r="T5" s="2">
        <v>399.0</v>
      </c>
      <c r="U5" s="2" t="s">
        <v>146</v>
      </c>
      <c r="V5" s="2" t="s">
        <v>147</v>
      </c>
    </row>
    <row r="6">
      <c r="A6" s="9">
        <v>205.0</v>
      </c>
      <c r="B6" s="10" t="s">
        <v>148</v>
      </c>
      <c r="C6" s="9" t="s">
        <v>87</v>
      </c>
      <c r="D6" s="11" t="s">
        <v>91</v>
      </c>
      <c r="E6" s="12" t="s">
        <v>149</v>
      </c>
      <c r="F6" s="21" t="s">
        <v>150</v>
      </c>
      <c r="G6" s="14">
        <v>199.0</v>
      </c>
      <c r="H6" s="11" t="s">
        <v>123</v>
      </c>
      <c r="I6" s="9" t="s">
        <v>124</v>
      </c>
      <c r="J6" s="9" t="s">
        <v>125</v>
      </c>
      <c r="K6" s="9" t="s">
        <v>125</v>
      </c>
      <c r="L6" s="11" t="s">
        <v>126</v>
      </c>
      <c r="O6" s="16"/>
      <c r="P6" s="16"/>
      <c r="Q6" s="16"/>
      <c r="R6" s="14">
        <v>3.0</v>
      </c>
      <c r="S6" s="2" t="s">
        <v>148</v>
      </c>
      <c r="T6" s="2">
        <v>299.0</v>
      </c>
      <c r="U6" s="2" t="s">
        <v>151</v>
      </c>
      <c r="V6" s="2" t="s">
        <v>152</v>
      </c>
    </row>
    <row r="7">
      <c r="A7" s="18">
        <v>206.0</v>
      </c>
      <c r="B7" s="10" t="s">
        <v>153</v>
      </c>
      <c r="C7" s="9" t="s">
        <v>87</v>
      </c>
      <c r="D7" s="11" t="s">
        <v>91</v>
      </c>
      <c r="E7" s="12" t="s">
        <v>154</v>
      </c>
      <c r="F7" s="21" t="s">
        <v>155</v>
      </c>
      <c r="G7" s="14">
        <v>249.0</v>
      </c>
      <c r="H7" s="11" t="s">
        <v>123</v>
      </c>
      <c r="I7" s="9" t="s">
        <v>124</v>
      </c>
      <c r="J7" s="9" t="s">
        <v>125</v>
      </c>
      <c r="K7" s="9" t="s">
        <v>125</v>
      </c>
      <c r="L7" s="11" t="s">
        <v>126</v>
      </c>
      <c r="O7" s="16"/>
      <c r="P7" s="16"/>
      <c r="Q7" s="16"/>
      <c r="R7" s="17">
        <v>2.0</v>
      </c>
      <c r="S7" s="2" t="s">
        <v>153</v>
      </c>
      <c r="T7" s="2">
        <v>379.0</v>
      </c>
      <c r="U7" s="2" t="s">
        <v>156</v>
      </c>
      <c r="V7" s="2" t="s">
        <v>157</v>
      </c>
    </row>
    <row r="8">
      <c r="A8" s="9">
        <v>207.0</v>
      </c>
      <c r="B8" s="10" t="s">
        <v>158</v>
      </c>
      <c r="C8" s="9" t="s">
        <v>87</v>
      </c>
      <c r="D8" s="11" t="s">
        <v>91</v>
      </c>
      <c r="E8" s="12" t="s">
        <v>159</v>
      </c>
      <c r="F8" s="21" t="s">
        <v>160</v>
      </c>
      <c r="G8" s="14">
        <v>229.0</v>
      </c>
      <c r="H8" s="11" t="s">
        <v>123</v>
      </c>
      <c r="I8" s="9" t="s">
        <v>124</v>
      </c>
      <c r="J8" s="9" t="s">
        <v>125</v>
      </c>
      <c r="K8" s="9" t="s">
        <v>125</v>
      </c>
      <c r="L8" s="11" t="s">
        <v>126</v>
      </c>
      <c r="O8" s="16"/>
      <c r="P8" s="16"/>
      <c r="Q8" s="16"/>
      <c r="R8" s="17">
        <v>0.0</v>
      </c>
      <c r="S8" s="2" t="s">
        <v>158</v>
      </c>
      <c r="T8" s="2">
        <v>349.0</v>
      </c>
      <c r="U8" s="2" t="s">
        <v>161</v>
      </c>
      <c r="V8" s="2" t="s">
        <v>162</v>
      </c>
    </row>
    <row r="9">
      <c r="A9" s="18">
        <v>208.0</v>
      </c>
      <c r="B9" s="10" t="s">
        <v>163</v>
      </c>
      <c r="C9" s="9" t="s">
        <v>87</v>
      </c>
      <c r="D9" s="11" t="s">
        <v>91</v>
      </c>
      <c r="E9" s="12" t="s">
        <v>164</v>
      </c>
      <c r="F9" s="21" t="s">
        <v>165</v>
      </c>
      <c r="G9" s="14">
        <v>249.0</v>
      </c>
      <c r="H9" s="11" t="s">
        <v>123</v>
      </c>
      <c r="I9" s="9" t="s">
        <v>124</v>
      </c>
      <c r="J9" s="9" t="s">
        <v>125</v>
      </c>
      <c r="K9" s="9" t="s">
        <v>125</v>
      </c>
      <c r="L9" s="11" t="s">
        <v>126</v>
      </c>
      <c r="O9" s="16"/>
      <c r="P9" s="16"/>
      <c r="Q9" s="16"/>
      <c r="R9" s="17">
        <v>1.0</v>
      </c>
      <c r="S9" s="2" t="s">
        <v>163</v>
      </c>
      <c r="T9" s="2">
        <v>379.0</v>
      </c>
      <c r="U9" s="2" t="s">
        <v>166</v>
      </c>
      <c r="V9" s="2" t="s">
        <v>167</v>
      </c>
    </row>
    <row r="10">
      <c r="A10" s="9">
        <v>209.0</v>
      </c>
      <c r="B10" s="10" t="s">
        <v>168</v>
      </c>
      <c r="C10" s="9" t="s">
        <v>87</v>
      </c>
      <c r="D10" s="11" t="s">
        <v>91</v>
      </c>
      <c r="E10" s="12" t="s">
        <v>169</v>
      </c>
      <c r="F10" s="21" t="s">
        <v>170</v>
      </c>
      <c r="G10" s="14">
        <v>269.0</v>
      </c>
      <c r="H10" s="11" t="s">
        <v>123</v>
      </c>
      <c r="I10" s="9" t="s">
        <v>124</v>
      </c>
      <c r="J10" s="9" t="s">
        <v>125</v>
      </c>
      <c r="K10" s="9" t="s">
        <v>125</v>
      </c>
      <c r="L10" s="11" t="s">
        <v>126</v>
      </c>
      <c r="O10" s="16"/>
      <c r="P10" s="16"/>
      <c r="Q10" s="16"/>
      <c r="R10" s="14">
        <v>1.0</v>
      </c>
      <c r="S10" s="2" t="s">
        <v>171</v>
      </c>
      <c r="T10" s="2">
        <v>399.0</v>
      </c>
      <c r="U10" s="2" t="s">
        <v>172</v>
      </c>
      <c r="V10" s="2" t="s">
        <v>173</v>
      </c>
    </row>
    <row r="11">
      <c r="A11" s="18">
        <v>210.0</v>
      </c>
      <c r="B11" s="10" t="s">
        <v>174</v>
      </c>
      <c r="C11" s="9" t="s">
        <v>87</v>
      </c>
      <c r="D11" s="11" t="s">
        <v>91</v>
      </c>
      <c r="E11" s="12" t="s">
        <v>175</v>
      </c>
      <c r="F11" s="21" t="s">
        <v>176</v>
      </c>
      <c r="G11" s="14">
        <v>249.0</v>
      </c>
      <c r="H11" s="11" t="s">
        <v>123</v>
      </c>
      <c r="I11" s="9" t="s">
        <v>124</v>
      </c>
      <c r="J11" s="9" t="s">
        <v>125</v>
      </c>
      <c r="K11" s="9" t="s">
        <v>125</v>
      </c>
      <c r="L11" s="11" t="s">
        <v>126</v>
      </c>
      <c r="O11" s="16"/>
      <c r="P11" s="16"/>
      <c r="Q11" s="16"/>
      <c r="R11" s="17">
        <v>3.0</v>
      </c>
      <c r="S11" s="2" t="s">
        <v>177</v>
      </c>
      <c r="T11" s="2">
        <v>379.0</v>
      </c>
      <c r="U11" s="2" t="s">
        <v>178</v>
      </c>
      <c r="V11" s="2" t="s">
        <v>179</v>
      </c>
    </row>
    <row r="12">
      <c r="A12" s="9">
        <v>211.0</v>
      </c>
      <c r="B12" s="10" t="s">
        <v>180</v>
      </c>
      <c r="C12" s="9" t="s">
        <v>87</v>
      </c>
      <c r="D12" s="11" t="s">
        <v>91</v>
      </c>
      <c r="E12" s="12" t="s">
        <v>181</v>
      </c>
      <c r="F12" s="21" t="s">
        <v>182</v>
      </c>
      <c r="G12" s="14">
        <v>129.0</v>
      </c>
      <c r="H12" s="11" t="s">
        <v>123</v>
      </c>
      <c r="I12" s="9" t="s">
        <v>124</v>
      </c>
      <c r="J12" s="9" t="s">
        <v>125</v>
      </c>
      <c r="K12" s="9" t="s">
        <v>125</v>
      </c>
      <c r="L12" s="11" t="s">
        <v>126</v>
      </c>
      <c r="O12" s="16"/>
      <c r="P12" s="16"/>
      <c r="Q12" s="16"/>
      <c r="R12" s="14">
        <v>3.0</v>
      </c>
      <c r="S12" s="2" t="s">
        <v>183</v>
      </c>
      <c r="T12" s="2">
        <v>199.0</v>
      </c>
      <c r="U12" s="2" t="s">
        <v>184</v>
      </c>
      <c r="V12" s="2" t="s">
        <v>185</v>
      </c>
    </row>
    <row r="13">
      <c r="A13" s="18">
        <v>212.0</v>
      </c>
      <c r="B13" s="10" t="s">
        <v>186</v>
      </c>
      <c r="C13" s="9" t="s">
        <v>87</v>
      </c>
      <c r="D13" s="11" t="s">
        <v>91</v>
      </c>
      <c r="E13" s="12" t="s">
        <v>187</v>
      </c>
      <c r="F13" s="21" t="s">
        <v>188</v>
      </c>
      <c r="G13" s="14">
        <v>279.0</v>
      </c>
      <c r="H13" s="11" t="s">
        <v>123</v>
      </c>
      <c r="I13" s="9" t="s">
        <v>124</v>
      </c>
      <c r="J13" s="9" t="s">
        <v>125</v>
      </c>
      <c r="K13" s="9" t="s">
        <v>125</v>
      </c>
      <c r="L13" s="11" t="s">
        <v>126</v>
      </c>
      <c r="O13" s="16" t="s">
        <v>189</v>
      </c>
      <c r="P13" s="16"/>
      <c r="Q13" s="16"/>
      <c r="R13" s="17">
        <v>1.0</v>
      </c>
      <c r="S13" s="2" t="s">
        <v>190</v>
      </c>
      <c r="T13" s="2">
        <v>399.0</v>
      </c>
      <c r="U13" s="2" t="s">
        <v>191</v>
      </c>
      <c r="V13" s="2" t="s">
        <v>192</v>
      </c>
    </row>
    <row r="14">
      <c r="A14" s="9">
        <v>213.0</v>
      </c>
      <c r="B14" s="10" t="s">
        <v>193</v>
      </c>
      <c r="C14" s="9" t="s">
        <v>87</v>
      </c>
      <c r="D14" s="11" t="s">
        <v>91</v>
      </c>
      <c r="E14" s="12" t="s">
        <v>194</v>
      </c>
      <c r="F14" s="21" t="s">
        <v>195</v>
      </c>
      <c r="G14" s="14">
        <v>279.0</v>
      </c>
      <c r="H14" s="11" t="s">
        <v>123</v>
      </c>
      <c r="I14" s="9" t="s">
        <v>124</v>
      </c>
      <c r="J14" s="9" t="s">
        <v>125</v>
      </c>
      <c r="K14" s="9" t="s">
        <v>125</v>
      </c>
      <c r="L14" s="11" t="s">
        <v>126</v>
      </c>
      <c r="O14" s="16" t="s">
        <v>196</v>
      </c>
      <c r="P14" s="16"/>
      <c r="Q14" s="16"/>
      <c r="R14" s="14">
        <v>3.0</v>
      </c>
      <c r="S14" s="2" t="s">
        <v>193</v>
      </c>
      <c r="T14" s="2">
        <v>399.0</v>
      </c>
      <c r="U14" s="2" t="s">
        <v>197</v>
      </c>
      <c r="V14" s="2" t="s">
        <v>198</v>
      </c>
    </row>
    <row r="15">
      <c r="A15" s="18">
        <v>214.0</v>
      </c>
      <c r="B15" s="10" t="s">
        <v>199</v>
      </c>
      <c r="C15" s="9" t="s">
        <v>87</v>
      </c>
      <c r="D15" s="11" t="s">
        <v>91</v>
      </c>
      <c r="E15" s="12" t="s">
        <v>200</v>
      </c>
      <c r="F15" s="21" t="s">
        <v>201</v>
      </c>
      <c r="G15" s="14">
        <v>199.0</v>
      </c>
      <c r="H15" s="11" t="s">
        <v>123</v>
      </c>
      <c r="I15" s="9" t="s">
        <v>124</v>
      </c>
      <c r="J15" s="9" t="s">
        <v>125</v>
      </c>
      <c r="K15" s="9" t="s">
        <v>125</v>
      </c>
      <c r="L15" s="11" t="s">
        <v>126</v>
      </c>
      <c r="O15" s="16"/>
      <c r="P15" s="16"/>
      <c r="Q15" s="16"/>
      <c r="R15" s="14">
        <v>3.0</v>
      </c>
      <c r="S15" s="2" t="s">
        <v>199</v>
      </c>
      <c r="T15" s="2">
        <v>299.0</v>
      </c>
      <c r="U15" s="2" t="s">
        <v>202</v>
      </c>
      <c r="V15" s="2" t="s">
        <v>203</v>
      </c>
    </row>
    <row r="16">
      <c r="A16" s="9">
        <v>215.0</v>
      </c>
      <c r="B16" s="10" t="s">
        <v>204</v>
      </c>
      <c r="C16" s="9" t="s">
        <v>87</v>
      </c>
      <c r="D16" s="11" t="s">
        <v>91</v>
      </c>
      <c r="E16" s="12" t="s">
        <v>205</v>
      </c>
      <c r="F16" s="21" t="s">
        <v>206</v>
      </c>
      <c r="G16" s="14">
        <v>229.0</v>
      </c>
      <c r="H16" s="11" t="s">
        <v>123</v>
      </c>
      <c r="I16" s="9" t="s">
        <v>124</v>
      </c>
      <c r="J16" s="9" t="s">
        <v>125</v>
      </c>
      <c r="K16" s="9" t="s">
        <v>125</v>
      </c>
      <c r="L16" s="11" t="s">
        <v>126</v>
      </c>
      <c r="O16" s="16"/>
      <c r="P16" s="16"/>
      <c r="Q16" s="16"/>
      <c r="R16" s="17">
        <v>0.0</v>
      </c>
      <c r="S16" s="2" t="s">
        <v>204</v>
      </c>
      <c r="T16" s="2">
        <v>349.0</v>
      </c>
      <c r="U16" s="2" t="s">
        <v>207</v>
      </c>
      <c r="V16" s="2" t="s">
        <v>208</v>
      </c>
    </row>
    <row r="17">
      <c r="A17" s="18">
        <v>216.0</v>
      </c>
      <c r="B17" s="10" t="s">
        <v>209</v>
      </c>
      <c r="C17" s="9" t="s">
        <v>87</v>
      </c>
      <c r="D17" s="11" t="s">
        <v>91</v>
      </c>
      <c r="E17" s="12" t="s">
        <v>210</v>
      </c>
      <c r="F17" s="21" t="s">
        <v>211</v>
      </c>
      <c r="G17" s="14">
        <v>209.0</v>
      </c>
      <c r="H17" s="11" t="s">
        <v>123</v>
      </c>
      <c r="I17" s="9" t="s">
        <v>124</v>
      </c>
      <c r="J17" s="9" t="s">
        <v>125</v>
      </c>
      <c r="K17" s="9" t="s">
        <v>125</v>
      </c>
      <c r="L17" s="11" t="s">
        <v>126</v>
      </c>
      <c r="O17" s="16"/>
      <c r="P17" s="16"/>
      <c r="Q17" s="16"/>
      <c r="R17" s="14">
        <v>3.0</v>
      </c>
      <c r="S17" s="2" t="s">
        <v>209</v>
      </c>
      <c r="T17" s="2">
        <v>319.0</v>
      </c>
      <c r="U17" s="2" t="s">
        <v>212</v>
      </c>
      <c r="V17" s="2" t="s">
        <v>213</v>
      </c>
    </row>
    <row r="18">
      <c r="A18" s="9">
        <v>217.0</v>
      </c>
      <c r="B18" s="10" t="s">
        <v>214</v>
      </c>
      <c r="C18" s="9" t="s">
        <v>87</v>
      </c>
      <c r="D18" s="11" t="s">
        <v>91</v>
      </c>
      <c r="E18" s="12" t="s">
        <v>215</v>
      </c>
      <c r="F18" s="21" t="s">
        <v>216</v>
      </c>
      <c r="G18" s="14">
        <v>229.0</v>
      </c>
      <c r="H18" s="11" t="s">
        <v>123</v>
      </c>
      <c r="I18" s="9" t="s">
        <v>124</v>
      </c>
      <c r="J18" s="9" t="s">
        <v>125</v>
      </c>
      <c r="K18" s="9" t="s">
        <v>125</v>
      </c>
      <c r="L18" s="11" t="s">
        <v>126</v>
      </c>
      <c r="O18" s="16"/>
      <c r="P18" s="16"/>
      <c r="Q18" s="16"/>
      <c r="R18" s="14">
        <v>3.0</v>
      </c>
      <c r="S18" s="2" t="s">
        <v>214</v>
      </c>
      <c r="T18" s="2">
        <v>349.0</v>
      </c>
      <c r="U18" s="2" t="s">
        <v>217</v>
      </c>
      <c r="V18" s="2" t="s">
        <v>218</v>
      </c>
    </row>
    <row r="19">
      <c r="A19" s="18">
        <v>218.0</v>
      </c>
      <c r="B19" s="10" t="s">
        <v>219</v>
      </c>
      <c r="C19" s="9" t="s">
        <v>87</v>
      </c>
      <c r="D19" s="11" t="s">
        <v>91</v>
      </c>
      <c r="E19" s="12" t="s">
        <v>220</v>
      </c>
      <c r="F19" s="21" t="s">
        <v>221</v>
      </c>
      <c r="G19" s="14">
        <v>99.0</v>
      </c>
      <c r="H19" s="11" t="s">
        <v>123</v>
      </c>
      <c r="I19" s="9" t="s">
        <v>124</v>
      </c>
      <c r="J19" s="9" t="s">
        <v>125</v>
      </c>
      <c r="K19" s="9" t="s">
        <v>125</v>
      </c>
      <c r="L19" s="11" t="s">
        <v>126</v>
      </c>
      <c r="O19" s="16"/>
      <c r="P19" s="16"/>
      <c r="Q19" s="16"/>
      <c r="R19" s="17">
        <v>2.0</v>
      </c>
      <c r="S19" s="2" t="s">
        <v>219</v>
      </c>
      <c r="T19" s="2">
        <v>149.0</v>
      </c>
      <c r="U19" s="2" t="s">
        <v>222</v>
      </c>
      <c r="V19" s="2" t="s">
        <v>223</v>
      </c>
    </row>
    <row r="20">
      <c r="A20" s="18">
        <v>220.0</v>
      </c>
      <c r="B20" s="10" t="s">
        <v>224</v>
      </c>
      <c r="C20" s="9" t="s">
        <v>87</v>
      </c>
      <c r="D20" s="11" t="s">
        <v>91</v>
      </c>
      <c r="E20" s="12" t="s">
        <v>225</v>
      </c>
      <c r="F20" s="21" t="s">
        <v>226</v>
      </c>
      <c r="G20" s="14">
        <v>199.0</v>
      </c>
      <c r="H20" s="11" t="s">
        <v>123</v>
      </c>
      <c r="I20" s="9" t="s">
        <v>124</v>
      </c>
      <c r="J20" s="9" t="s">
        <v>125</v>
      </c>
      <c r="K20" s="9" t="s">
        <v>125</v>
      </c>
      <c r="L20" s="11" t="s">
        <v>126</v>
      </c>
      <c r="O20" s="16"/>
      <c r="P20" s="16"/>
      <c r="Q20" s="16"/>
      <c r="R20" s="17">
        <v>1.0</v>
      </c>
      <c r="S20" s="2" t="s">
        <v>224</v>
      </c>
      <c r="T20" s="2">
        <v>299.0</v>
      </c>
      <c r="U20" s="2" t="s">
        <v>227</v>
      </c>
      <c r="V20" s="2" t="s">
        <v>228</v>
      </c>
    </row>
    <row r="21">
      <c r="A21" s="9">
        <v>221.0</v>
      </c>
      <c r="B21" s="10" t="s">
        <v>229</v>
      </c>
      <c r="C21" s="9" t="s">
        <v>87</v>
      </c>
      <c r="D21" s="11" t="s">
        <v>91</v>
      </c>
      <c r="E21" s="12" t="s">
        <v>230</v>
      </c>
      <c r="F21" s="21" t="s">
        <v>231</v>
      </c>
      <c r="G21" s="14">
        <v>189.0</v>
      </c>
      <c r="H21" s="11" t="s">
        <v>123</v>
      </c>
      <c r="I21" s="9" t="s">
        <v>124</v>
      </c>
      <c r="J21" s="9" t="s">
        <v>125</v>
      </c>
      <c r="K21" s="9" t="s">
        <v>125</v>
      </c>
      <c r="L21" s="11" t="s">
        <v>126</v>
      </c>
      <c r="O21" s="16"/>
      <c r="P21" s="16"/>
      <c r="Q21" s="16"/>
      <c r="R21" s="14">
        <v>3.0</v>
      </c>
      <c r="S21" s="2" t="s">
        <v>229</v>
      </c>
      <c r="T21" s="2">
        <v>289.0</v>
      </c>
      <c r="U21" s="2" t="s">
        <v>232</v>
      </c>
      <c r="V21" s="2" t="s">
        <v>233</v>
      </c>
    </row>
    <row r="22">
      <c r="A22" s="18">
        <v>222.0</v>
      </c>
      <c r="B22" s="10" t="s">
        <v>234</v>
      </c>
      <c r="C22" s="9" t="s">
        <v>87</v>
      </c>
      <c r="D22" s="11" t="s">
        <v>91</v>
      </c>
      <c r="E22" s="12" t="s">
        <v>235</v>
      </c>
      <c r="F22" s="21" t="s">
        <v>236</v>
      </c>
      <c r="G22" s="17">
        <v>189.0</v>
      </c>
      <c r="H22" s="11" t="s">
        <v>123</v>
      </c>
      <c r="I22" s="9" t="s">
        <v>124</v>
      </c>
      <c r="J22" s="9" t="s">
        <v>125</v>
      </c>
      <c r="K22" s="9" t="s">
        <v>125</v>
      </c>
      <c r="L22" s="11" t="s">
        <v>126</v>
      </c>
      <c r="O22" s="16"/>
      <c r="P22" s="16"/>
      <c r="Q22" s="16"/>
      <c r="R22" s="17">
        <v>2.0</v>
      </c>
      <c r="S22" s="2" t="s">
        <v>234</v>
      </c>
      <c r="T22" s="2">
        <v>289.0</v>
      </c>
      <c r="U22" s="2" t="s">
        <v>237</v>
      </c>
      <c r="V22" s="2" t="s">
        <v>238</v>
      </c>
    </row>
    <row r="23">
      <c r="A23" s="9">
        <v>223.0</v>
      </c>
      <c r="B23" s="10" t="s">
        <v>239</v>
      </c>
      <c r="C23" s="9" t="s">
        <v>87</v>
      </c>
      <c r="D23" s="11" t="s">
        <v>91</v>
      </c>
      <c r="E23" s="12" t="s">
        <v>240</v>
      </c>
      <c r="F23" s="21" t="s">
        <v>241</v>
      </c>
      <c r="G23" s="14">
        <v>249.0</v>
      </c>
      <c r="H23" s="11" t="s">
        <v>123</v>
      </c>
      <c r="I23" s="9" t="s">
        <v>124</v>
      </c>
      <c r="J23" s="9" t="s">
        <v>125</v>
      </c>
      <c r="K23" s="9" t="s">
        <v>125</v>
      </c>
      <c r="L23" s="11" t="s">
        <v>126</v>
      </c>
      <c r="O23" s="16"/>
      <c r="P23" s="16"/>
      <c r="Q23" s="16"/>
      <c r="R23" s="14">
        <v>3.0</v>
      </c>
      <c r="S23" s="2" t="s">
        <v>239</v>
      </c>
      <c r="T23" s="2">
        <v>379.0</v>
      </c>
      <c r="U23" s="2" t="s">
        <v>242</v>
      </c>
      <c r="V23" s="2" t="s">
        <v>243</v>
      </c>
    </row>
    <row r="24">
      <c r="A24" s="18">
        <v>224.0</v>
      </c>
      <c r="B24" s="10" t="s">
        <v>244</v>
      </c>
      <c r="C24" s="9" t="s">
        <v>87</v>
      </c>
      <c r="D24" s="11" t="s">
        <v>91</v>
      </c>
      <c r="E24" s="12" t="s">
        <v>245</v>
      </c>
      <c r="F24" s="21" t="s">
        <v>246</v>
      </c>
      <c r="G24" s="14">
        <v>179.0</v>
      </c>
      <c r="H24" s="11" t="s">
        <v>123</v>
      </c>
      <c r="I24" s="9" t="s">
        <v>124</v>
      </c>
      <c r="J24" s="9" t="s">
        <v>125</v>
      </c>
      <c r="K24" s="9" t="s">
        <v>125</v>
      </c>
      <c r="L24" s="11" t="s">
        <v>126</v>
      </c>
      <c r="O24" s="16"/>
      <c r="P24" s="16"/>
      <c r="Q24" s="16"/>
      <c r="R24" s="17">
        <v>1.0</v>
      </c>
      <c r="S24" s="2" t="s">
        <v>244</v>
      </c>
      <c r="T24" s="2">
        <v>259.0</v>
      </c>
      <c r="U24" s="2" t="s">
        <v>247</v>
      </c>
      <c r="V24" s="2" t="s">
        <v>248</v>
      </c>
    </row>
    <row r="25">
      <c r="A25" s="9">
        <v>225.0</v>
      </c>
      <c r="B25" s="10" t="s">
        <v>249</v>
      </c>
      <c r="C25" s="9" t="s">
        <v>87</v>
      </c>
      <c r="D25" s="11" t="s">
        <v>91</v>
      </c>
      <c r="E25" s="12" t="s">
        <v>250</v>
      </c>
      <c r="F25" s="21" t="s">
        <v>251</v>
      </c>
      <c r="G25" s="14">
        <v>129.0</v>
      </c>
      <c r="H25" s="11" t="s">
        <v>123</v>
      </c>
      <c r="I25" s="9" t="s">
        <v>124</v>
      </c>
      <c r="J25" s="9" t="s">
        <v>125</v>
      </c>
      <c r="K25" s="9" t="s">
        <v>125</v>
      </c>
      <c r="L25" s="11" t="s">
        <v>126</v>
      </c>
      <c r="O25" s="16"/>
      <c r="P25" s="16"/>
      <c r="Q25" s="16"/>
      <c r="R25" s="17">
        <v>2.0</v>
      </c>
      <c r="S25" s="2" t="s">
        <v>249</v>
      </c>
      <c r="T25" s="2">
        <v>199.0</v>
      </c>
      <c r="U25" s="2" t="s">
        <v>252</v>
      </c>
      <c r="V25" s="2" t="s">
        <v>253</v>
      </c>
    </row>
    <row r="26">
      <c r="A26" s="14">
        <v>226.0</v>
      </c>
      <c r="B26" s="10" t="s">
        <v>254</v>
      </c>
      <c r="C26" s="9" t="s">
        <v>87</v>
      </c>
      <c r="D26" s="11" t="s">
        <v>91</v>
      </c>
      <c r="E26" s="12" t="s">
        <v>255</v>
      </c>
      <c r="F26" s="21" t="s">
        <v>256</v>
      </c>
      <c r="G26" s="14">
        <v>274.0</v>
      </c>
      <c r="H26" s="11" t="s">
        <v>123</v>
      </c>
      <c r="I26" s="9" t="s">
        <v>124</v>
      </c>
      <c r="J26" s="9" t="s">
        <v>125</v>
      </c>
      <c r="K26" s="9" t="s">
        <v>125</v>
      </c>
      <c r="L26" s="11" t="s">
        <v>126</v>
      </c>
      <c r="M26" s="22" t="s">
        <v>257</v>
      </c>
      <c r="O26" s="16" t="s">
        <v>258</v>
      </c>
      <c r="P26" s="2"/>
      <c r="Q26" s="21" t="s">
        <v>259</v>
      </c>
      <c r="R26" s="17">
        <v>2.0</v>
      </c>
      <c r="S26" s="2" t="s">
        <v>254</v>
      </c>
      <c r="T26" s="2">
        <v>399.0</v>
      </c>
      <c r="U26" s="2" t="s">
        <v>260</v>
      </c>
      <c r="V26" s="2" t="s">
        <v>261</v>
      </c>
    </row>
    <row r="27">
      <c r="A27" s="14">
        <v>227.0</v>
      </c>
      <c r="B27" s="10" t="s">
        <v>262</v>
      </c>
      <c r="C27" s="9" t="s">
        <v>87</v>
      </c>
      <c r="D27" s="11" t="s">
        <v>91</v>
      </c>
      <c r="E27" s="12" t="s">
        <v>263</v>
      </c>
      <c r="F27" s="21" t="s">
        <v>264</v>
      </c>
      <c r="G27" s="14">
        <v>249.0</v>
      </c>
      <c r="H27" s="11" t="s">
        <v>123</v>
      </c>
      <c r="I27" s="9" t="s">
        <v>124</v>
      </c>
      <c r="J27" s="9" t="s">
        <v>125</v>
      </c>
      <c r="K27" s="9" t="s">
        <v>125</v>
      </c>
      <c r="L27" s="11" t="s">
        <v>126</v>
      </c>
      <c r="M27" s="22" t="s">
        <v>257</v>
      </c>
      <c r="O27" s="16" t="s">
        <v>265</v>
      </c>
      <c r="P27" s="2"/>
      <c r="Q27" s="21" t="s">
        <v>266</v>
      </c>
      <c r="R27" s="14">
        <v>2.0</v>
      </c>
      <c r="S27" s="2" t="s">
        <v>267</v>
      </c>
      <c r="T27" s="2">
        <v>379.0</v>
      </c>
      <c r="U27" s="2" t="s">
        <v>268</v>
      </c>
      <c r="V27" s="2" t="s">
        <v>269</v>
      </c>
    </row>
    <row r="28">
      <c r="A28" s="14">
        <v>228.0</v>
      </c>
      <c r="B28" s="10" t="s">
        <v>270</v>
      </c>
      <c r="C28" s="9" t="s">
        <v>87</v>
      </c>
      <c r="D28" s="11" t="s">
        <v>91</v>
      </c>
      <c r="E28" s="12" t="s">
        <v>271</v>
      </c>
      <c r="F28" s="2" t="s">
        <v>272</v>
      </c>
      <c r="G28" s="14">
        <v>289.0</v>
      </c>
      <c r="H28" s="11" t="s">
        <v>123</v>
      </c>
      <c r="I28" s="9" t="s">
        <v>124</v>
      </c>
      <c r="J28" s="9" t="s">
        <v>125</v>
      </c>
      <c r="K28" s="9" t="s">
        <v>125</v>
      </c>
      <c r="L28" s="11" t="s">
        <v>126</v>
      </c>
      <c r="M28" s="22" t="s">
        <v>257</v>
      </c>
      <c r="O28" s="16" t="s">
        <v>273</v>
      </c>
      <c r="P28" s="2"/>
      <c r="Q28" s="21" t="s">
        <v>274</v>
      </c>
      <c r="R28" s="17">
        <v>3.0</v>
      </c>
      <c r="S28" s="2" t="s">
        <v>270</v>
      </c>
      <c r="T28" s="2">
        <v>429.0</v>
      </c>
      <c r="U28" s="2" t="s">
        <v>275</v>
      </c>
      <c r="V28" s="2" t="s">
        <v>276</v>
      </c>
    </row>
    <row r="29">
      <c r="A29" s="14">
        <v>229.0</v>
      </c>
      <c r="B29" s="10" t="s">
        <v>277</v>
      </c>
      <c r="C29" s="9" t="s">
        <v>87</v>
      </c>
      <c r="D29" s="11" t="s">
        <v>91</v>
      </c>
      <c r="E29" s="12" t="s">
        <v>278</v>
      </c>
      <c r="F29" s="21" t="s">
        <v>279</v>
      </c>
      <c r="G29" s="14">
        <v>229.0</v>
      </c>
      <c r="H29" s="11" t="s">
        <v>123</v>
      </c>
      <c r="I29" s="9" t="s">
        <v>124</v>
      </c>
      <c r="J29" s="9" t="s">
        <v>125</v>
      </c>
      <c r="K29" s="9" t="s">
        <v>125</v>
      </c>
      <c r="L29" s="11" t="s">
        <v>126</v>
      </c>
      <c r="M29" s="22" t="s">
        <v>257</v>
      </c>
      <c r="O29" s="16" t="s">
        <v>280</v>
      </c>
      <c r="P29" s="2"/>
      <c r="Q29" s="21" t="s">
        <v>281</v>
      </c>
      <c r="R29" s="17">
        <v>3.0</v>
      </c>
      <c r="S29" s="2" t="s">
        <v>277</v>
      </c>
      <c r="T29" s="2">
        <v>349.0</v>
      </c>
      <c r="U29" s="2" t="s">
        <v>282</v>
      </c>
      <c r="V29" s="2" t="s">
        <v>283</v>
      </c>
    </row>
    <row r="30">
      <c r="A30" s="14">
        <v>230.0</v>
      </c>
      <c r="B30" s="10" t="s">
        <v>284</v>
      </c>
      <c r="C30" s="9" t="s">
        <v>87</v>
      </c>
      <c r="D30" s="11" t="s">
        <v>91</v>
      </c>
      <c r="E30" s="12" t="s">
        <v>285</v>
      </c>
      <c r="F30" s="21" t="s">
        <v>286</v>
      </c>
      <c r="G30" s="14">
        <v>239.0</v>
      </c>
      <c r="H30" s="11" t="s">
        <v>123</v>
      </c>
      <c r="I30" s="9" t="s">
        <v>124</v>
      </c>
      <c r="J30" s="9" t="s">
        <v>125</v>
      </c>
      <c r="K30" s="9" t="s">
        <v>125</v>
      </c>
      <c r="L30" s="11" t="s">
        <v>126</v>
      </c>
      <c r="M30" s="22" t="s">
        <v>257</v>
      </c>
      <c r="O30" s="16" t="s">
        <v>287</v>
      </c>
      <c r="P30" s="2"/>
      <c r="Q30" s="21" t="s">
        <v>288</v>
      </c>
      <c r="R30" s="14">
        <v>3.0</v>
      </c>
      <c r="S30" s="2" t="s">
        <v>284</v>
      </c>
      <c r="T30" s="2">
        <v>359.0</v>
      </c>
      <c r="U30" s="2" t="s">
        <v>289</v>
      </c>
      <c r="V30" s="2" t="s">
        <v>290</v>
      </c>
    </row>
    <row r="31">
      <c r="A31" s="14">
        <v>231.0</v>
      </c>
      <c r="B31" s="10" t="s">
        <v>291</v>
      </c>
      <c r="C31" s="9" t="s">
        <v>87</v>
      </c>
      <c r="D31" s="11" t="s">
        <v>91</v>
      </c>
      <c r="E31" s="12" t="s">
        <v>292</v>
      </c>
      <c r="F31" s="21" t="s">
        <v>293</v>
      </c>
      <c r="G31" s="14">
        <v>199.0</v>
      </c>
      <c r="H31" s="11" t="s">
        <v>123</v>
      </c>
      <c r="I31" s="9" t="s">
        <v>124</v>
      </c>
      <c r="J31" s="9" t="s">
        <v>125</v>
      </c>
      <c r="K31" s="9" t="s">
        <v>125</v>
      </c>
      <c r="L31" s="11" t="s">
        <v>126</v>
      </c>
      <c r="M31" s="22" t="s">
        <v>257</v>
      </c>
      <c r="O31" s="16" t="s">
        <v>294</v>
      </c>
      <c r="P31" s="16"/>
      <c r="Q31" s="16"/>
      <c r="R31" s="14">
        <v>3.0</v>
      </c>
      <c r="S31" s="2" t="s">
        <v>291</v>
      </c>
      <c r="T31" s="2">
        <v>299.0</v>
      </c>
      <c r="U31" s="2" t="s">
        <v>295</v>
      </c>
      <c r="V31" s="2" t="s">
        <v>296</v>
      </c>
    </row>
    <row r="32">
      <c r="A32" s="14">
        <v>232.0</v>
      </c>
      <c r="B32" s="10" t="s">
        <v>297</v>
      </c>
      <c r="C32" s="9" t="s">
        <v>87</v>
      </c>
      <c r="D32" s="11" t="s">
        <v>91</v>
      </c>
      <c r="E32" s="12" t="s">
        <v>298</v>
      </c>
      <c r="F32" s="21" t="s">
        <v>299</v>
      </c>
      <c r="G32" s="14">
        <v>249.0</v>
      </c>
      <c r="H32" s="11" t="s">
        <v>123</v>
      </c>
      <c r="I32" s="9" t="s">
        <v>124</v>
      </c>
      <c r="J32" s="9" t="s">
        <v>125</v>
      </c>
      <c r="K32" s="9" t="s">
        <v>125</v>
      </c>
      <c r="L32" s="11" t="s">
        <v>126</v>
      </c>
      <c r="M32" s="22" t="s">
        <v>257</v>
      </c>
      <c r="O32" s="13" t="s">
        <v>300</v>
      </c>
      <c r="P32" s="2"/>
      <c r="Q32" s="21" t="s">
        <v>301</v>
      </c>
      <c r="R32" s="17">
        <v>3.0</v>
      </c>
      <c r="S32" s="2" t="s">
        <v>297</v>
      </c>
      <c r="T32" s="2">
        <v>379.0</v>
      </c>
      <c r="U32" s="2" t="s">
        <v>302</v>
      </c>
      <c r="V32" s="2" t="s">
        <v>303</v>
      </c>
    </row>
    <row r="33">
      <c r="A33" s="14">
        <v>233.0</v>
      </c>
      <c r="B33" s="10" t="s">
        <v>304</v>
      </c>
      <c r="C33" s="9" t="s">
        <v>87</v>
      </c>
      <c r="D33" s="11" t="s">
        <v>91</v>
      </c>
      <c r="E33" s="12" t="s">
        <v>305</v>
      </c>
      <c r="F33" s="21" t="s">
        <v>306</v>
      </c>
      <c r="G33" s="14">
        <v>209.0</v>
      </c>
      <c r="H33" s="11" t="s">
        <v>123</v>
      </c>
      <c r="I33" s="9" t="s">
        <v>124</v>
      </c>
      <c r="J33" s="9" t="s">
        <v>125</v>
      </c>
      <c r="K33" s="9" t="s">
        <v>125</v>
      </c>
      <c r="L33" s="11" t="s">
        <v>126</v>
      </c>
      <c r="M33" s="22" t="s">
        <v>257</v>
      </c>
      <c r="O33" s="16" t="s">
        <v>307</v>
      </c>
      <c r="P33" s="16"/>
      <c r="Q33" s="16"/>
      <c r="R33" s="17">
        <v>2.0</v>
      </c>
      <c r="S33" s="2" t="s">
        <v>304</v>
      </c>
      <c r="T33" s="2">
        <v>319.0</v>
      </c>
      <c r="U33" s="2" t="s">
        <v>308</v>
      </c>
      <c r="V33" s="2" t="s">
        <v>309</v>
      </c>
    </row>
    <row r="34">
      <c r="A34" s="14">
        <v>236.0</v>
      </c>
      <c r="B34" s="10" t="s">
        <v>310</v>
      </c>
      <c r="C34" s="9" t="s">
        <v>87</v>
      </c>
      <c r="D34" s="18" t="s">
        <v>91</v>
      </c>
      <c r="E34" s="12" t="s">
        <v>311</v>
      </c>
      <c r="F34" s="21" t="s">
        <v>312</v>
      </c>
      <c r="G34" s="14">
        <v>199.0</v>
      </c>
      <c r="H34" s="11" t="s">
        <v>123</v>
      </c>
      <c r="I34" s="9" t="s">
        <v>124</v>
      </c>
      <c r="J34" s="9" t="s">
        <v>125</v>
      </c>
      <c r="K34" s="9" t="s">
        <v>125</v>
      </c>
      <c r="L34" s="18" t="s">
        <v>126</v>
      </c>
      <c r="M34" s="22" t="s">
        <v>257</v>
      </c>
      <c r="O34" s="15" t="s">
        <v>313</v>
      </c>
      <c r="P34" s="2"/>
      <c r="Q34" s="21" t="s">
        <v>314</v>
      </c>
      <c r="R34" s="17">
        <v>2.0</v>
      </c>
      <c r="S34" s="2" t="s">
        <v>310</v>
      </c>
      <c r="T34" s="2">
        <v>299.0</v>
      </c>
      <c r="U34" s="2" t="s">
        <v>315</v>
      </c>
      <c r="V34" s="2" t="s">
        <v>316</v>
      </c>
    </row>
    <row r="35">
      <c r="C35" s="22" t="s">
        <v>257</v>
      </c>
      <c r="D35" s="22" t="s">
        <v>257</v>
      </c>
      <c r="E35" s="22" t="s">
        <v>257</v>
      </c>
      <c r="F35" s="22" t="s">
        <v>257</v>
      </c>
      <c r="G35" s="22" t="s">
        <v>257</v>
      </c>
      <c r="H35" s="22" t="s">
        <v>257</v>
      </c>
      <c r="I35" s="22" t="s">
        <v>257</v>
      </c>
      <c r="J35" s="22" t="s">
        <v>257</v>
      </c>
      <c r="K35" s="22" t="s">
        <v>257</v>
      </c>
      <c r="L35" s="22" t="s">
        <v>257</v>
      </c>
      <c r="M35" s="22" t="s">
        <v>257</v>
      </c>
    </row>
    <row r="36">
      <c r="A36" s="22" t="s">
        <v>257</v>
      </c>
      <c r="B36" s="22" t="s">
        <v>257</v>
      </c>
      <c r="C36" s="22" t="s">
        <v>257</v>
      </c>
      <c r="D36" s="22" t="s">
        <v>257</v>
      </c>
      <c r="E36" s="22" t="s">
        <v>257</v>
      </c>
      <c r="F36" s="22" t="s">
        <v>257</v>
      </c>
      <c r="G36" s="22" t="s">
        <v>257</v>
      </c>
      <c r="H36" s="22" t="s">
        <v>257</v>
      </c>
      <c r="I36" s="22" t="s">
        <v>257</v>
      </c>
      <c r="J36" s="22" t="s">
        <v>257</v>
      </c>
      <c r="K36" s="22" t="s">
        <v>257</v>
      </c>
      <c r="L36" s="22" t="s">
        <v>257</v>
      </c>
      <c r="M36" s="22" t="s">
        <v>257</v>
      </c>
    </row>
    <row r="37">
      <c r="A37" s="22" t="s">
        <v>257</v>
      </c>
      <c r="B37" s="22" t="s">
        <v>257</v>
      </c>
      <c r="C37" s="22" t="s">
        <v>257</v>
      </c>
      <c r="D37" s="22" t="s">
        <v>257</v>
      </c>
      <c r="E37" s="22" t="s">
        <v>257</v>
      </c>
      <c r="F37" s="22" t="s">
        <v>257</v>
      </c>
      <c r="G37" s="22" t="s">
        <v>257</v>
      </c>
      <c r="H37" s="22" t="s">
        <v>257</v>
      </c>
      <c r="I37" s="22" t="s">
        <v>257</v>
      </c>
      <c r="J37" s="22" t="s">
        <v>257</v>
      </c>
      <c r="K37" s="22" t="s">
        <v>257</v>
      </c>
      <c r="L37" s="22" t="s">
        <v>257</v>
      </c>
      <c r="M37" s="22" t="s">
        <v>257</v>
      </c>
    </row>
    <row r="38">
      <c r="A38" s="22" t="s">
        <v>257</v>
      </c>
      <c r="B38" s="22" t="s">
        <v>257</v>
      </c>
      <c r="C38" s="22" t="s">
        <v>257</v>
      </c>
      <c r="D38" s="22" t="s">
        <v>257</v>
      </c>
      <c r="E38" s="22" t="s">
        <v>257</v>
      </c>
      <c r="F38" s="22" t="s">
        <v>257</v>
      </c>
      <c r="G38" s="22" t="s">
        <v>257</v>
      </c>
      <c r="H38" s="22" t="s">
        <v>257</v>
      </c>
      <c r="I38" s="22" t="s">
        <v>257</v>
      </c>
      <c r="J38" s="22" t="s">
        <v>257</v>
      </c>
      <c r="K38" s="22" t="s">
        <v>257</v>
      </c>
      <c r="L38" s="22" t="s">
        <v>257</v>
      </c>
      <c r="M38" s="22" t="s">
        <v>257</v>
      </c>
    </row>
    <row r="39">
      <c r="A39" s="22" t="s">
        <v>257</v>
      </c>
      <c r="B39" s="22" t="s">
        <v>257</v>
      </c>
      <c r="C39" s="22" t="s">
        <v>257</v>
      </c>
      <c r="D39" s="22" t="s">
        <v>257</v>
      </c>
      <c r="E39" s="22" t="s">
        <v>257</v>
      </c>
      <c r="F39" s="22" t="s">
        <v>257</v>
      </c>
      <c r="G39" s="22" t="s">
        <v>257</v>
      </c>
      <c r="H39" s="22" t="s">
        <v>257</v>
      </c>
      <c r="I39" s="22" t="s">
        <v>257</v>
      </c>
      <c r="J39" s="22" t="s">
        <v>257</v>
      </c>
      <c r="K39" s="22" t="s">
        <v>257</v>
      </c>
      <c r="L39" s="22" t="s">
        <v>257</v>
      </c>
      <c r="M39" s="22" t="s">
        <v>257</v>
      </c>
    </row>
    <row r="40">
      <c r="A40" s="22" t="s">
        <v>257</v>
      </c>
      <c r="B40" s="22" t="s">
        <v>257</v>
      </c>
      <c r="C40" s="22" t="s">
        <v>257</v>
      </c>
      <c r="D40" s="22" t="s">
        <v>257</v>
      </c>
      <c r="E40" s="22" t="s">
        <v>257</v>
      </c>
      <c r="F40" s="22" t="s">
        <v>257</v>
      </c>
      <c r="G40" s="22" t="s">
        <v>257</v>
      </c>
      <c r="H40" s="22" t="s">
        <v>257</v>
      </c>
      <c r="I40" s="22" t="s">
        <v>257</v>
      </c>
      <c r="J40" s="22" t="s">
        <v>257</v>
      </c>
      <c r="K40" s="22" t="s">
        <v>257</v>
      </c>
      <c r="L40" s="22" t="s">
        <v>257</v>
      </c>
      <c r="M40" s="22" t="s">
        <v>257</v>
      </c>
    </row>
    <row r="41">
      <c r="A41" s="22" t="s">
        <v>257</v>
      </c>
      <c r="B41" s="22" t="s">
        <v>257</v>
      </c>
      <c r="C41" s="22" t="s">
        <v>257</v>
      </c>
      <c r="D41" s="22" t="s">
        <v>257</v>
      </c>
      <c r="E41" s="22" t="s">
        <v>257</v>
      </c>
      <c r="F41" s="22" t="s">
        <v>257</v>
      </c>
      <c r="G41" s="22" t="s">
        <v>257</v>
      </c>
      <c r="H41" s="22" t="s">
        <v>257</v>
      </c>
      <c r="I41" s="22" t="s">
        <v>257</v>
      </c>
      <c r="J41" s="22" t="s">
        <v>257</v>
      </c>
      <c r="K41" s="22" t="s">
        <v>257</v>
      </c>
      <c r="L41" s="22" t="s">
        <v>257</v>
      </c>
      <c r="M41" s="22" t="s">
        <v>257</v>
      </c>
    </row>
    <row r="42">
      <c r="A42" s="22" t="s">
        <v>257</v>
      </c>
      <c r="B42" s="22" t="s">
        <v>257</v>
      </c>
      <c r="C42" s="22" t="s">
        <v>257</v>
      </c>
      <c r="D42" s="22" t="s">
        <v>257</v>
      </c>
      <c r="E42" s="22" t="s">
        <v>257</v>
      </c>
      <c r="F42" s="22" t="s">
        <v>257</v>
      </c>
      <c r="G42" s="22" t="s">
        <v>257</v>
      </c>
      <c r="H42" s="22" t="s">
        <v>257</v>
      </c>
      <c r="I42" s="22" t="s">
        <v>257</v>
      </c>
      <c r="J42" s="22" t="s">
        <v>257</v>
      </c>
      <c r="K42" s="22" t="s">
        <v>257</v>
      </c>
      <c r="L42" s="22" t="s">
        <v>257</v>
      </c>
      <c r="M42" s="22" t="s">
        <v>257</v>
      </c>
    </row>
    <row r="43">
      <c r="A43" s="22" t="s">
        <v>257</v>
      </c>
      <c r="B43" s="22" t="s">
        <v>257</v>
      </c>
      <c r="C43" s="22" t="s">
        <v>257</v>
      </c>
      <c r="D43" s="22" t="s">
        <v>257</v>
      </c>
      <c r="E43" s="22" t="s">
        <v>257</v>
      </c>
      <c r="F43" s="22" t="s">
        <v>257</v>
      </c>
      <c r="G43" s="22" t="s">
        <v>257</v>
      </c>
      <c r="H43" s="22" t="s">
        <v>257</v>
      </c>
      <c r="I43" s="22" t="s">
        <v>257</v>
      </c>
      <c r="J43" s="22" t="s">
        <v>257</v>
      </c>
      <c r="K43" s="22" t="s">
        <v>257</v>
      </c>
      <c r="L43" s="22" t="s">
        <v>257</v>
      </c>
      <c r="M43" s="22" t="s">
        <v>257</v>
      </c>
    </row>
    <row r="44">
      <c r="A44" s="22" t="s">
        <v>257</v>
      </c>
      <c r="B44" s="22" t="s">
        <v>257</v>
      </c>
      <c r="C44" s="22" t="s">
        <v>257</v>
      </c>
      <c r="D44" s="22" t="s">
        <v>257</v>
      </c>
      <c r="E44" s="22" t="s">
        <v>257</v>
      </c>
      <c r="F44" s="22" t="s">
        <v>257</v>
      </c>
      <c r="H44" s="22" t="s">
        <v>257</v>
      </c>
      <c r="I44" s="22" t="s">
        <v>257</v>
      </c>
      <c r="J44" s="22" t="s">
        <v>257</v>
      </c>
      <c r="K44" s="22" t="s">
        <v>257</v>
      </c>
      <c r="L44" s="22" t="s">
        <v>257</v>
      </c>
      <c r="M44" s="22" t="s">
        <v>257</v>
      </c>
    </row>
    <row r="45">
      <c r="A45" s="22" t="s">
        <v>257</v>
      </c>
      <c r="B45" s="22" t="s">
        <v>257</v>
      </c>
      <c r="C45" s="22" t="s">
        <v>257</v>
      </c>
      <c r="D45" s="22" t="s">
        <v>257</v>
      </c>
      <c r="E45" s="22" t="s">
        <v>257</v>
      </c>
      <c r="F45" s="22" t="s">
        <v>257</v>
      </c>
      <c r="H45" s="22" t="s">
        <v>257</v>
      </c>
      <c r="I45" s="22" t="s">
        <v>257</v>
      </c>
      <c r="J45" s="22" t="s">
        <v>257</v>
      </c>
      <c r="K45" s="22" t="s">
        <v>257</v>
      </c>
      <c r="L45" s="22" t="s">
        <v>257</v>
      </c>
      <c r="M45" s="22" t="s">
        <v>257</v>
      </c>
    </row>
    <row r="46">
      <c r="A46" s="22" t="s">
        <v>257</v>
      </c>
      <c r="B46" s="22" t="s">
        <v>257</v>
      </c>
      <c r="C46" s="22" t="s">
        <v>257</v>
      </c>
      <c r="D46" s="22" t="s">
        <v>257</v>
      </c>
      <c r="E46" s="22" t="s">
        <v>257</v>
      </c>
      <c r="F46" s="22" t="s">
        <v>257</v>
      </c>
      <c r="H46" s="22" t="s">
        <v>257</v>
      </c>
      <c r="I46" s="22" t="s">
        <v>257</v>
      </c>
      <c r="J46" s="22" t="s">
        <v>257</v>
      </c>
      <c r="K46" s="22" t="s">
        <v>257</v>
      </c>
      <c r="L46" s="22" t="s">
        <v>257</v>
      </c>
      <c r="M46" s="22" t="s">
        <v>257</v>
      </c>
    </row>
    <row r="47">
      <c r="A47" s="22" t="s">
        <v>257</v>
      </c>
      <c r="B47" s="22" t="s">
        <v>257</v>
      </c>
      <c r="C47" s="22" t="s">
        <v>257</v>
      </c>
      <c r="D47" s="22" t="s">
        <v>257</v>
      </c>
      <c r="E47" s="22" t="s">
        <v>257</v>
      </c>
      <c r="F47" s="22" t="s">
        <v>257</v>
      </c>
      <c r="H47" s="22" t="s">
        <v>257</v>
      </c>
      <c r="I47" s="22" t="s">
        <v>257</v>
      </c>
      <c r="J47" s="22" t="s">
        <v>257</v>
      </c>
      <c r="K47" s="22" t="s">
        <v>257</v>
      </c>
      <c r="L47" s="22" t="s">
        <v>257</v>
      </c>
      <c r="M47" s="22" t="s">
        <v>257</v>
      </c>
    </row>
    <row r="48">
      <c r="A48" s="22" t="s">
        <v>257</v>
      </c>
      <c r="B48" s="22" t="s">
        <v>257</v>
      </c>
      <c r="C48" s="22" t="s">
        <v>257</v>
      </c>
      <c r="D48" s="22" t="s">
        <v>257</v>
      </c>
      <c r="E48" s="22" t="s">
        <v>257</v>
      </c>
      <c r="F48" s="22" t="s">
        <v>257</v>
      </c>
      <c r="H48" s="22" t="s">
        <v>257</v>
      </c>
      <c r="I48" s="22" t="s">
        <v>257</v>
      </c>
      <c r="J48" s="22" t="s">
        <v>257</v>
      </c>
      <c r="K48" s="22" t="s">
        <v>257</v>
      </c>
      <c r="L48" s="22" t="s">
        <v>257</v>
      </c>
      <c r="M48" s="22" t="s">
        <v>257</v>
      </c>
    </row>
  </sheetData>
  <dataValidations>
    <dataValidation type="list" allowBlank="1" showErrorMessage="1" sqref="D2:D48">
      <formula1>"in_stock,out_of_stock,preorder,backorder"</formula1>
    </dataValidation>
    <dataValidation type="list" allowBlank="1" sqref="L2:L48">
      <formula1>",new,refurbished,used"</formula1>
    </dataValidation>
    <dataValidation type="list" allowBlank="1" showErrorMessage="1" sqref="H2:H48">
      <formula1>",yes,no"</formula1>
    </dataValidation>
  </dataValidations>
  <hyperlinks>
    <hyperlink r:id="rId1" ref="E2"/>
    <hyperlink r:id="rId2" ref="F2"/>
    <hyperlink r:id="rId3" ref="M2"/>
    <hyperlink r:id="rId4" ref="E3"/>
    <hyperlink r:id="rId5" ref="N3"/>
    <hyperlink r:id="rId6" ref="O3"/>
    <hyperlink r:id="rId7" ref="E4"/>
    <hyperlink r:id="rId8" ref="F4"/>
    <hyperlink r:id="rId9" ref="E5"/>
    <hyperlink r:id="rId10" ref="F5"/>
    <hyperlink r:id="rId11" ref="E6"/>
    <hyperlink r:id="rId12" ref="F6"/>
    <hyperlink r:id="rId13" ref="E7"/>
    <hyperlink r:id="rId14" ref="F7"/>
    <hyperlink r:id="rId15" ref="E8"/>
    <hyperlink r:id="rId16" ref="F8"/>
    <hyperlink r:id="rId17" ref="E9"/>
    <hyperlink r:id="rId18" ref="F9"/>
    <hyperlink r:id="rId19" ref="E10"/>
    <hyperlink r:id="rId20" ref="F10"/>
    <hyperlink r:id="rId21" ref="E11"/>
    <hyperlink r:id="rId22" ref="F11"/>
    <hyperlink r:id="rId23" ref="E12"/>
    <hyperlink r:id="rId24" ref="F12"/>
    <hyperlink r:id="rId25" ref="E13"/>
    <hyperlink r:id="rId26" ref="F13"/>
    <hyperlink r:id="rId27" ref="E14"/>
    <hyperlink r:id="rId28" ref="F14"/>
    <hyperlink r:id="rId29" ref="E15"/>
    <hyperlink r:id="rId30" ref="F15"/>
    <hyperlink r:id="rId31" ref="E16"/>
    <hyperlink r:id="rId32" ref="F16"/>
    <hyperlink r:id="rId33" ref="E17"/>
    <hyperlink r:id="rId34" ref="F17"/>
    <hyperlink r:id="rId35" ref="E18"/>
    <hyperlink r:id="rId36" ref="F18"/>
    <hyperlink r:id="rId37" ref="E19"/>
    <hyperlink r:id="rId38" ref="F19"/>
    <hyperlink r:id="rId39" ref="E20"/>
    <hyperlink r:id="rId40" ref="F20"/>
    <hyperlink r:id="rId41" ref="E21"/>
    <hyperlink r:id="rId42" ref="F21"/>
    <hyperlink r:id="rId43" ref="E22"/>
    <hyperlink r:id="rId44" ref="F22"/>
    <hyperlink r:id="rId45" ref="E23"/>
    <hyperlink r:id="rId46" ref="F23"/>
    <hyperlink r:id="rId47" ref="E24"/>
    <hyperlink r:id="rId48" ref="F24"/>
    <hyperlink r:id="rId49" ref="E25"/>
    <hyperlink r:id="rId50" ref="F25"/>
    <hyperlink r:id="rId51" ref="E26"/>
    <hyperlink r:id="rId52" ref="F26"/>
    <hyperlink r:id="rId53" ref="Q26"/>
    <hyperlink r:id="rId54" ref="E27"/>
    <hyperlink r:id="rId55" ref="F27"/>
    <hyperlink r:id="rId56" ref="Q27"/>
    <hyperlink r:id="rId57" ref="E28"/>
    <hyperlink r:id="rId58" ref="Q28"/>
    <hyperlink r:id="rId59" ref="E29"/>
    <hyperlink r:id="rId60" ref="F29"/>
    <hyperlink r:id="rId61" ref="Q29"/>
    <hyperlink r:id="rId62" ref="E30"/>
    <hyperlink r:id="rId63" ref="F30"/>
    <hyperlink r:id="rId64" ref="Q30"/>
    <hyperlink r:id="rId65" ref="E31"/>
    <hyperlink r:id="rId66" ref="F31"/>
    <hyperlink r:id="rId67" ref="E32"/>
    <hyperlink r:id="rId68" ref="F32"/>
    <hyperlink r:id="rId69" ref="O32"/>
    <hyperlink r:id="rId70" ref="Q32"/>
    <hyperlink r:id="rId71" ref="E33"/>
    <hyperlink r:id="rId72" ref="F33"/>
    <hyperlink r:id="rId73" ref="E34"/>
    <hyperlink r:id="rId74" ref="F34"/>
    <hyperlink r:id="rId75" ref="O34"/>
    <hyperlink r:id="rId76" ref="Q34"/>
  </hyperlinks>
  <drawing r:id="rId7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7.25"/>
    <col customWidth="1" min="7" max="7" width="19.63"/>
    <col customWidth="1" min="8" max="8" width="41.88"/>
    <col customWidth="1" min="14" max="14" width="67.0"/>
  </cols>
  <sheetData>
    <row r="1">
      <c r="A1" s="1">
        <v>46102.36824847222</v>
      </c>
      <c r="B1" s="2" t="s">
        <v>0</v>
      </c>
      <c r="C1" s="2" t="s">
        <v>1</v>
      </c>
      <c r="D1" s="2" t="s">
        <v>2</v>
      </c>
      <c r="E1" s="2">
        <v>9.524527342E9</v>
      </c>
      <c r="F1" s="2" t="s">
        <v>3</v>
      </c>
      <c r="G1" s="2" t="s">
        <v>4</v>
      </c>
      <c r="H1" s="2" t="s">
        <v>5</v>
      </c>
      <c r="I1" s="3">
        <v>269.0</v>
      </c>
      <c r="J1" s="3">
        <v>38.0</v>
      </c>
      <c r="K1" s="3">
        <v>0.0</v>
      </c>
      <c r="L1" s="3">
        <v>307.0</v>
      </c>
      <c r="M1" s="2" t="s">
        <v>6</v>
      </c>
      <c r="N1" s="2" t="s">
        <v>7</v>
      </c>
      <c r="O1" s="2" t="s">
        <v>8</v>
      </c>
    </row>
    <row r="2">
      <c r="A2" s="1">
        <v>46102.37471700231</v>
      </c>
      <c r="B2" s="2" t="s">
        <v>9</v>
      </c>
      <c r="C2" s="2" t="s">
        <v>10</v>
      </c>
      <c r="D2" s="2" t="s">
        <v>2</v>
      </c>
      <c r="E2" s="2">
        <v>9.524527342E9</v>
      </c>
      <c r="F2" s="2" t="s">
        <v>3</v>
      </c>
      <c r="G2" s="2" t="s">
        <v>4</v>
      </c>
      <c r="H2" s="2" t="s">
        <v>5</v>
      </c>
      <c r="I2" s="3">
        <v>269.0</v>
      </c>
      <c r="J2" s="3">
        <v>38.0</v>
      </c>
      <c r="K2" s="3">
        <v>0.0</v>
      </c>
      <c r="L2" s="3">
        <v>307.0</v>
      </c>
      <c r="M2" s="2" t="s">
        <v>6</v>
      </c>
      <c r="N2" s="2" t="s">
        <v>7</v>
      </c>
      <c r="O2" s="2" t="s">
        <v>8</v>
      </c>
    </row>
    <row r="3">
      <c r="A3" s="1">
        <v>46102.375865821756</v>
      </c>
      <c r="B3" s="2" t="s">
        <v>11</v>
      </c>
      <c r="C3" s="2" t="s">
        <v>12</v>
      </c>
      <c r="D3" s="2" t="s">
        <v>2</v>
      </c>
      <c r="E3" s="2">
        <v>9.524527342E9</v>
      </c>
      <c r="F3" s="2" t="s">
        <v>3</v>
      </c>
      <c r="G3" s="2" t="s">
        <v>4</v>
      </c>
      <c r="H3" s="2" t="s">
        <v>5</v>
      </c>
      <c r="I3" s="3">
        <v>269.0</v>
      </c>
      <c r="J3" s="3">
        <v>38.0</v>
      </c>
      <c r="K3" s="3">
        <v>40.0</v>
      </c>
      <c r="L3" s="3">
        <v>347.0</v>
      </c>
      <c r="M3" s="2" t="s">
        <v>13</v>
      </c>
      <c r="N3" s="2" t="s">
        <v>7</v>
      </c>
      <c r="O3" s="2" t="s">
        <v>14</v>
      </c>
    </row>
    <row r="4">
      <c r="A4" s="1">
        <v>46102.3770262037</v>
      </c>
      <c r="B4" s="2" t="s">
        <v>15</v>
      </c>
      <c r="C4" s="2" t="s">
        <v>16</v>
      </c>
      <c r="D4" s="2" t="s">
        <v>2</v>
      </c>
      <c r="E4" s="2">
        <v>9.524527342E9</v>
      </c>
      <c r="F4" s="2" t="s">
        <v>3</v>
      </c>
      <c r="G4" s="2" t="s">
        <v>4</v>
      </c>
      <c r="H4" s="2" t="s">
        <v>17</v>
      </c>
      <c r="I4" s="3">
        <v>99.0</v>
      </c>
      <c r="J4" s="3">
        <v>38.0</v>
      </c>
      <c r="K4" s="3">
        <v>0.0</v>
      </c>
      <c r="L4" s="3">
        <v>137.0</v>
      </c>
      <c r="M4" s="2" t="s">
        <v>6</v>
      </c>
      <c r="N4" s="2" t="s">
        <v>18</v>
      </c>
      <c r="O4" s="2" t="s">
        <v>14</v>
      </c>
    </row>
    <row r="5">
      <c r="A5" s="1">
        <v>46102.47966631944</v>
      </c>
      <c r="B5" s="2" t="s">
        <v>19</v>
      </c>
      <c r="C5" s="2" t="s">
        <v>20</v>
      </c>
      <c r="D5" s="2" t="s">
        <v>21</v>
      </c>
      <c r="E5" s="2">
        <v>9.524527342E9</v>
      </c>
      <c r="F5" s="2" t="s">
        <v>22</v>
      </c>
      <c r="G5" s="2" t="s">
        <v>23</v>
      </c>
      <c r="H5" s="2" t="s">
        <v>24</v>
      </c>
      <c r="I5" s="3">
        <v>229.0</v>
      </c>
      <c r="J5" s="3">
        <v>38.0</v>
      </c>
      <c r="K5" s="3">
        <v>0.0</v>
      </c>
      <c r="L5" s="3">
        <v>267.0</v>
      </c>
      <c r="M5" s="2" t="s">
        <v>6</v>
      </c>
      <c r="N5" s="2" t="s">
        <v>25</v>
      </c>
      <c r="O5" s="2" t="s">
        <v>8</v>
      </c>
    </row>
    <row r="6">
      <c r="A6" s="1">
        <v>46102.632556516204</v>
      </c>
      <c r="B6" s="2" t="s">
        <v>26</v>
      </c>
      <c r="C6" s="2" t="s">
        <v>27</v>
      </c>
      <c r="D6" s="2" t="s">
        <v>28</v>
      </c>
      <c r="E6" s="2">
        <v>9.524527342E9</v>
      </c>
      <c r="F6" s="2" t="s">
        <v>29</v>
      </c>
      <c r="G6" s="2" t="s">
        <v>30</v>
      </c>
      <c r="H6" s="2" t="s">
        <v>31</v>
      </c>
      <c r="I6" s="3">
        <v>1882.0</v>
      </c>
      <c r="J6" s="3">
        <v>0.0</v>
      </c>
      <c r="K6" s="3">
        <v>0.0</v>
      </c>
      <c r="L6" s="3">
        <v>1882.0</v>
      </c>
      <c r="M6" s="2" t="s">
        <v>32</v>
      </c>
      <c r="N6" s="2" t="s">
        <v>33</v>
      </c>
      <c r="O6" s="2" t="s">
        <v>8</v>
      </c>
    </row>
    <row r="7">
      <c r="A7" s="1">
        <v>46102.634687592596</v>
      </c>
      <c r="B7" s="2" t="s">
        <v>34</v>
      </c>
      <c r="C7" s="2" t="s">
        <v>35</v>
      </c>
      <c r="D7" s="2" t="s">
        <v>2</v>
      </c>
      <c r="E7" s="2">
        <v>9.524527342E9</v>
      </c>
      <c r="F7" s="2" t="s">
        <v>3</v>
      </c>
      <c r="G7" s="2" t="s">
        <v>4</v>
      </c>
      <c r="H7" s="2" t="s">
        <v>36</v>
      </c>
      <c r="I7" s="3">
        <v>229.0</v>
      </c>
      <c r="J7" s="3">
        <v>38.0</v>
      </c>
      <c r="K7" s="3">
        <v>40.0</v>
      </c>
      <c r="L7" s="3">
        <v>307.0</v>
      </c>
      <c r="M7" s="2" t="s">
        <v>13</v>
      </c>
      <c r="N7" s="2" t="s">
        <v>37</v>
      </c>
      <c r="O7" s="2" t="s">
        <v>14</v>
      </c>
    </row>
    <row r="8">
      <c r="A8" s="1">
        <v>46102.63509715278</v>
      </c>
      <c r="B8" s="2" t="s">
        <v>38</v>
      </c>
      <c r="C8" s="2" t="s">
        <v>39</v>
      </c>
      <c r="D8" s="2" t="s">
        <v>2</v>
      </c>
      <c r="E8" s="2">
        <v>9.524527342E9</v>
      </c>
      <c r="F8" s="2" t="s">
        <v>3</v>
      </c>
      <c r="G8" s="2" t="s">
        <v>4</v>
      </c>
      <c r="H8" s="2" t="s">
        <v>40</v>
      </c>
      <c r="I8" s="3">
        <v>199.0</v>
      </c>
      <c r="J8" s="3">
        <v>38.0</v>
      </c>
      <c r="K8" s="3">
        <v>0.0</v>
      </c>
      <c r="L8" s="3">
        <v>237.0</v>
      </c>
      <c r="M8" s="2" t="s">
        <v>6</v>
      </c>
      <c r="N8" s="2" t="s">
        <v>41</v>
      </c>
      <c r="O8" s="2" t="s">
        <v>8</v>
      </c>
    </row>
    <row r="9">
      <c r="A9" s="1">
        <v>46103.351230960645</v>
      </c>
      <c r="B9" s="2" t="s">
        <v>42</v>
      </c>
      <c r="C9" s="2" t="s">
        <v>43</v>
      </c>
      <c r="D9" s="2" t="s">
        <v>2</v>
      </c>
      <c r="E9" s="2">
        <v>9.524527342E9</v>
      </c>
      <c r="F9" s="2" t="s">
        <v>3</v>
      </c>
      <c r="G9" s="2" t="s">
        <v>4</v>
      </c>
      <c r="H9" s="2" t="s">
        <v>44</v>
      </c>
      <c r="I9" s="3">
        <v>239.0</v>
      </c>
      <c r="J9" s="3">
        <v>38.0</v>
      </c>
      <c r="K9" s="3">
        <v>0.0</v>
      </c>
      <c r="L9" s="3">
        <v>277.0</v>
      </c>
      <c r="M9" s="2" t="s">
        <v>6</v>
      </c>
      <c r="N9" s="2" t="s">
        <v>45</v>
      </c>
      <c r="O9" s="2" t="s">
        <v>8</v>
      </c>
    </row>
    <row r="10">
      <c r="A10" s="1">
        <v>46107.24599174768</v>
      </c>
      <c r="B10" s="2" t="s">
        <v>46</v>
      </c>
      <c r="C10" s="2" t="s">
        <v>47</v>
      </c>
      <c r="D10" s="2" t="s">
        <v>2</v>
      </c>
      <c r="E10" s="2">
        <v>9.524527342E9</v>
      </c>
      <c r="F10" s="2" t="s">
        <v>3</v>
      </c>
      <c r="G10" s="2" t="s">
        <v>4</v>
      </c>
      <c r="H10" s="2" t="s">
        <v>24</v>
      </c>
      <c r="I10" s="3">
        <v>229.0</v>
      </c>
      <c r="J10" s="3">
        <v>38.0</v>
      </c>
      <c r="K10" s="3">
        <v>40.0</v>
      </c>
      <c r="L10" s="3">
        <v>307.0</v>
      </c>
      <c r="M10" s="2" t="s">
        <v>13</v>
      </c>
      <c r="N10" s="2" t="s">
        <v>25</v>
      </c>
      <c r="O10" s="2" t="s">
        <v>14</v>
      </c>
    </row>
    <row r="11">
      <c r="A11" s="1">
        <v>46110.47319960648</v>
      </c>
      <c r="B11" s="2" t="s">
        <v>48</v>
      </c>
      <c r="C11" s="2" t="s">
        <v>49</v>
      </c>
      <c r="D11" s="2" t="s">
        <v>50</v>
      </c>
      <c r="E11" s="2">
        <v>9.500722254E9</v>
      </c>
      <c r="F11" s="2" t="s">
        <v>52</v>
      </c>
      <c r="G11" s="2" t="s">
        <v>53</v>
      </c>
      <c r="H11" s="2" t="s">
        <v>36</v>
      </c>
      <c r="I11" s="3">
        <v>229.0</v>
      </c>
      <c r="J11" s="3">
        <v>38.0</v>
      </c>
      <c r="K11" s="3">
        <v>0.0</v>
      </c>
      <c r="L11" s="3">
        <v>267.0</v>
      </c>
      <c r="M11" s="2" t="s">
        <v>6</v>
      </c>
      <c r="N11" s="2" t="s">
        <v>37</v>
      </c>
      <c r="O11" s="2" t="s">
        <v>14</v>
      </c>
    </row>
    <row r="12">
      <c r="A12" s="1">
        <v>46114.43058515046</v>
      </c>
      <c r="B12" s="2" t="s">
        <v>54</v>
      </c>
      <c r="C12" s="2" t="s">
        <v>55</v>
      </c>
      <c r="D12" s="2" t="s">
        <v>2</v>
      </c>
      <c r="E12" s="2">
        <v>9.524527342E9</v>
      </c>
      <c r="F12" s="2" t="s">
        <v>3</v>
      </c>
      <c r="G12" s="2" t="s">
        <v>4</v>
      </c>
      <c r="H12" s="2" t="s">
        <v>56</v>
      </c>
      <c r="I12" s="3">
        <v>189.0</v>
      </c>
      <c r="J12" s="3">
        <v>38.0</v>
      </c>
      <c r="K12" s="3">
        <v>0.0</v>
      </c>
      <c r="L12" s="3">
        <v>227.0</v>
      </c>
      <c r="M12" s="2" t="s">
        <v>6</v>
      </c>
      <c r="N12" s="2" t="s">
        <v>57</v>
      </c>
      <c r="O12" s="2" t="s">
        <v>8</v>
      </c>
    </row>
    <row r="13">
      <c r="A13" s="1">
        <v>46115.190483136575</v>
      </c>
      <c r="B13" s="2" t="s">
        <v>58</v>
      </c>
      <c r="C13" s="2" t="s">
        <v>59</v>
      </c>
      <c r="D13" s="2" t="s">
        <v>2</v>
      </c>
      <c r="E13" s="2">
        <v>9.524527342E9</v>
      </c>
      <c r="F13" s="2" t="s">
        <v>3</v>
      </c>
      <c r="G13" s="2" t="s">
        <v>4</v>
      </c>
      <c r="H13" s="2" t="s">
        <v>60</v>
      </c>
      <c r="I13" s="3">
        <v>249.0</v>
      </c>
      <c r="J13" s="3">
        <v>38.0</v>
      </c>
      <c r="K13" s="3">
        <v>0.0</v>
      </c>
      <c r="L13" s="3">
        <v>287.0</v>
      </c>
      <c r="M13" s="2" t="s">
        <v>6</v>
      </c>
      <c r="N13" s="2" t="s">
        <v>61</v>
      </c>
      <c r="O13" s="2" t="s">
        <v>8</v>
      </c>
    </row>
    <row r="14">
      <c r="A14" s="1">
        <v>46118.21991210648</v>
      </c>
      <c r="B14" s="2" t="s">
        <v>62</v>
      </c>
      <c r="C14" s="2" t="s">
        <v>63</v>
      </c>
      <c r="D14" s="2" t="s">
        <v>64</v>
      </c>
      <c r="E14" s="2">
        <v>7.010768895E9</v>
      </c>
      <c r="F14" s="2" t="s">
        <v>65</v>
      </c>
      <c r="G14" s="2" t="s">
        <v>66</v>
      </c>
      <c r="H14" s="2" t="s">
        <v>67</v>
      </c>
      <c r="I14" s="3">
        <v>5078.0</v>
      </c>
      <c r="J14" s="3">
        <v>0.0</v>
      </c>
      <c r="K14" s="3">
        <v>0.0</v>
      </c>
      <c r="L14" s="3">
        <v>5078.0</v>
      </c>
      <c r="M14" s="2" t="s">
        <v>69</v>
      </c>
      <c r="N14" s="2" t="s">
        <v>71</v>
      </c>
      <c r="O14" s="2" t="s">
        <v>8</v>
      </c>
    </row>
    <row r="15">
      <c r="A15" s="1">
        <v>46125.36686145833</v>
      </c>
      <c r="B15" s="2" t="s">
        <v>74</v>
      </c>
      <c r="C15" s="2" t="s">
        <v>76</v>
      </c>
      <c r="D15" s="2" t="s">
        <v>2</v>
      </c>
      <c r="E15" s="2">
        <v>9.524527342E9</v>
      </c>
      <c r="F15" s="2" t="s">
        <v>3</v>
      </c>
      <c r="G15" s="2" t="s">
        <v>4</v>
      </c>
      <c r="H15" s="2" t="s">
        <v>79</v>
      </c>
      <c r="I15" s="3">
        <v>328.0</v>
      </c>
      <c r="J15" s="3">
        <v>38.0</v>
      </c>
      <c r="K15" s="3">
        <v>0.0</v>
      </c>
      <c r="L15" s="3">
        <v>366.0</v>
      </c>
      <c r="M15" s="2" t="s">
        <v>6</v>
      </c>
      <c r="N15" s="2" t="s">
        <v>82</v>
      </c>
      <c r="O15" s="2" t="s">
        <v>8</v>
      </c>
    </row>
    <row r="16">
      <c r="A16" s="1">
        <v>46126.4996990625</v>
      </c>
      <c r="B16" s="2" t="s">
        <v>84</v>
      </c>
      <c r="C16" s="2" t="s">
        <v>85</v>
      </c>
      <c r="D16" s="2" t="s">
        <v>2</v>
      </c>
      <c r="E16" s="2">
        <v>9.524527342E9</v>
      </c>
      <c r="F16" s="2" t="s">
        <v>3</v>
      </c>
      <c r="G16" s="2" t="s">
        <v>4</v>
      </c>
      <c r="H16" s="2" t="s">
        <v>60</v>
      </c>
      <c r="I16" s="3">
        <v>249.0</v>
      </c>
      <c r="J16" s="3">
        <v>38.0</v>
      </c>
      <c r="K16" s="3">
        <v>0.0</v>
      </c>
      <c r="L16" s="3">
        <v>287.0</v>
      </c>
      <c r="M16" s="2" t="s">
        <v>6</v>
      </c>
      <c r="N16" s="2" t="s">
        <v>61</v>
      </c>
      <c r="O16" s="2" t="s">
        <v>8</v>
      </c>
    </row>
    <row r="17">
      <c r="A17" s="1">
        <v>46149.68037253473</v>
      </c>
      <c r="B17" s="2" t="s">
        <v>88</v>
      </c>
      <c r="C17" s="2" t="s">
        <v>89</v>
      </c>
      <c r="D17" s="2" t="s">
        <v>2</v>
      </c>
      <c r="E17" s="2">
        <v>9.524527342E9</v>
      </c>
      <c r="F17" s="2" t="s">
        <v>3</v>
      </c>
      <c r="G17" s="2" t="s">
        <v>4</v>
      </c>
      <c r="H17" s="2" t="s">
        <v>90</v>
      </c>
      <c r="I17" s="3">
        <v>249.0</v>
      </c>
      <c r="J17" s="3">
        <v>38.0</v>
      </c>
      <c r="K17" s="3">
        <v>0.0</v>
      </c>
      <c r="L17" s="3">
        <v>287.0</v>
      </c>
      <c r="M17" s="2" t="s">
        <v>6</v>
      </c>
      <c r="N17" s="2" t="s">
        <v>92</v>
      </c>
      <c r="O17" s="2" t="s">
        <v>8</v>
      </c>
    </row>
    <row r="18">
      <c r="A18" s="1">
        <v>46223.28983</v>
      </c>
      <c r="B18" s="2" t="s">
        <v>93</v>
      </c>
      <c r="C18" s="2" t="s">
        <v>94</v>
      </c>
      <c r="D18" s="2" t="s">
        <v>95</v>
      </c>
      <c r="E18" s="2">
        <v>9.524527342E9</v>
      </c>
      <c r="F18" s="2" t="s">
        <v>97</v>
      </c>
      <c r="G18" s="2" t="s">
        <v>98</v>
      </c>
      <c r="H18" s="2" t="s">
        <v>99</v>
      </c>
      <c r="I18" s="3">
        <v>249.0</v>
      </c>
      <c r="J18" s="3">
        <v>38.0</v>
      </c>
      <c r="K18" s="3">
        <v>0.0</v>
      </c>
      <c r="L18" s="3">
        <v>287.0</v>
      </c>
      <c r="M18" s="2" t="s">
        <v>6</v>
      </c>
      <c r="N18" s="2" t="s">
        <v>100</v>
      </c>
      <c r="O18" s="2" t="s">
        <v>14</v>
      </c>
    </row>
    <row r="19">
      <c r="A19" s="1">
        <v>46223.31812711805</v>
      </c>
      <c r="B19" s="2" t="s">
        <v>101</v>
      </c>
      <c r="C19" s="2" t="s">
        <v>102</v>
      </c>
      <c r="D19" s="2" t="s">
        <v>103</v>
      </c>
      <c r="E19" s="2">
        <v>9.597382845E9</v>
      </c>
      <c r="F19" s="2" t="s">
        <v>104</v>
      </c>
      <c r="G19" s="2" t="s">
        <v>105</v>
      </c>
      <c r="H19" s="2" t="s">
        <v>106</v>
      </c>
      <c r="I19" s="3">
        <v>249.0</v>
      </c>
      <c r="J19" s="3">
        <v>38.0</v>
      </c>
      <c r="K19" s="3">
        <v>0.0</v>
      </c>
      <c r="L19" s="3">
        <v>287.0</v>
      </c>
      <c r="M19" s="2" t="s">
        <v>6</v>
      </c>
      <c r="N19" s="2" t="s">
        <v>107</v>
      </c>
      <c r="O19" s="2" t="s">
        <v>14</v>
      </c>
    </row>
    <row r="20">
      <c r="A20" s="1">
        <v>46222.32595888889</v>
      </c>
      <c r="B20" s="2" t="s">
        <v>108</v>
      </c>
      <c r="C20" s="2" t="s">
        <v>109</v>
      </c>
      <c r="D20" s="2" t="s">
        <v>110</v>
      </c>
      <c r="E20" s="2">
        <v>9.123563018E9</v>
      </c>
      <c r="F20" s="2" t="s">
        <v>111</v>
      </c>
      <c r="G20" s="2" t="s">
        <v>112</v>
      </c>
      <c r="H20" s="2" t="s">
        <v>113</v>
      </c>
      <c r="I20" s="3">
        <v>498.0</v>
      </c>
      <c r="J20" s="3">
        <v>38.0</v>
      </c>
      <c r="K20" s="3">
        <v>0.0</v>
      </c>
      <c r="L20" s="3">
        <v>536.0</v>
      </c>
      <c r="M20" s="2" t="s">
        <v>6</v>
      </c>
      <c r="N20" s="2" t="s">
        <v>115</v>
      </c>
      <c r="O20" s="2" t="s">
        <v>8</v>
      </c>
    </row>
    <row r="21">
      <c r="A21" s="1">
        <v>46268.91289439815</v>
      </c>
      <c r="B21" s="2" t="s">
        <v>116</v>
      </c>
      <c r="C21" s="2" t="s">
        <v>117</v>
      </c>
      <c r="D21" s="2" t="s">
        <v>118</v>
      </c>
      <c r="E21" s="2">
        <v>9.791298834E9</v>
      </c>
      <c r="F21" s="2" t="s">
        <v>119</v>
      </c>
      <c r="G21" s="2" t="s">
        <v>120</v>
      </c>
      <c r="H21" s="2" t="s">
        <v>121</v>
      </c>
      <c r="I21" s="3">
        <v>199.0</v>
      </c>
      <c r="J21" s="3">
        <v>38.0</v>
      </c>
      <c r="K21" s="3">
        <v>40.0</v>
      </c>
      <c r="L21" s="3">
        <v>277.0</v>
      </c>
      <c r="M21" s="2" t="s">
        <v>13</v>
      </c>
      <c r="N21" s="2" t="s">
        <v>122</v>
      </c>
      <c r="O21" s="2" t="s">
        <v>14</v>
      </c>
    </row>
  </sheetData>
  <drawing r:id="rId1"/>
</worksheet>
</file>